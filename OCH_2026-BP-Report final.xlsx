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.shortcut-targets-by-id\1rKnSCB8IfCvBmWw2Mz77ayWrHQNTOqxC\Ke hoach kinh doanh Cong ty me\KHKD 2026\Bc Power BI\FILE điều chỉnh\PB ĐỂ TRÌNH BÀY KHKD 2026\FILE TRÌNH KHKD 2026-TĂNG VỐN\"/>
    </mc:Choice>
  </mc:AlternateContent>
  <xr:revisionPtr revIDLastSave="0" documentId="13_ncr:1_{0BF6B5F7-227A-465E-BCC3-2BF4A9B0396D}" xr6:coauthVersionLast="47" xr6:coauthVersionMax="47" xr10:uidLastSave="{00000000-0000-0000-0000-000000000000}"/>
  <bookViews>
    <workbookView xWindow="-110" yWindow="-110" windowWidth="19420" windowHeight="10420" tabRatio="797" activeTab="1" xr2:uid="{00000000-000D-0000-FFFF-FFFF00000000}"/>
  </bookViews>
  <sheets>
    <sheet name="TỔNG HỢP KHKD 2025" sheetId="3" r:id="rId1"/>
    <sheet name="CPQLDN." sheetId="2" r:id="rId2"/>
    <sheet name="KQKD Tổng quan" sheetId="6" r:id="rId3"/>
    <sheet name="Kế hoạch" sheetId="7" r:id="rId4"/>
    <sheet name="TỔNG HỢP" sheetId="9" r:id="rId5"/>
    <sheet name="Danh mục CP QLDN chi tiết" sheetId="11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??" hidden="1">'[1]????&lt;?&gt;'!$A$5:$A$14</definedName>
    <definedName name="__??" hidden="1">'[1]????&lt;?&gt;'!$A$5:$A$14</definedName>
    <definedName name="___??" hidden="1">'[1]????&lt;?&gt;'!$A$5:$A$14</definedName>
    <definedName name="____??" hidden="1">'[1]????&lt;?&gt;'!$A$5:$A$14</definedName>
    <definedName name="______a4" localSheetId="1" hidden="1">{"'Sheet1'!$L$16"}</definedName>
    <definedName name="______a4" localSheetId="0" hidden="1">{"'Sheet1'!$L$16"}</definedName>
    <definedName name="______a4" hidden="1">{"'Sheet1'!$L$16"}</definedName>
    <definedName name="______b1" localSheetId="1" hidden="1">{"'Sheet1'!$L$16"}</definedName>
    <definedName name="______b1" localSheetId="0" hidden="1">{"'Sheet1'!$L$16"}</definedName>
    <definedName name="______b1" hidden="1">{"'Sheet1'!$L$16"}</definedName>
    <definedName name="______b3" localSheetId="1" hidden="1">{"'Sheet1'!$L$16"}</definedName>
    <definedName name="______b3" localSheetId="0" hidden="1">{"'Sheet1'!$L$16"}</definedName>
    <definedName name="______b3" hidden="1">{"'Sheet1'!$L$16"}</definedName>
    <definedName name="______CN1" localSheetId="1" hidden="1">{"'Sheet1'!$L$16"}</definedName>
    <definedName name="______CN1" localSheetId="0" hidden="1">{"'Sheet1'!$L$16"}</definedName>
    <definedName name="______CN1" hidden="1">{"'Sheet1'!$L$16"}</definedName>
    <definedName name="______CT4" localSheetId="1" hidden="1">{"'Sheet1'!$L$16"}</definedName>
    <definedName name="______CT4" localSheetId="0" hidden="1">{"'Sheet1'!$L$16"}</definedName>
    <definedName name="______CT4" hidden="1">{"'Sheet1'!$L$16"}</definedName>
    <definedName name="______F1" localSheetId="1" hidden="1">{"'Sheet1'!$L$16"}</definedName>
    <definedName name="______F1" localSheetId="0" hidden="1">{"'Sheet1'!$L$16"}</definedName>
    <definedName name="______F1" hidden="1">{"'Sheet1'!$L$16"}</definedName>
    <definedName name="______m1" localSheetId="1" hidden="1">{"'Sheet1'!$L$16"}</definedName>
    <definedName name="______m1" localSheetId="0" hidden="1">{"'Sheet1'!$L$16"}</definedName>
    <definedName name="______m1" hidden="1">{"'Sheet1'!$L$16"}</definedName>
    <definedName name="______mau03" localSheetId="1" hidden="1">{"'Sheet1'!$L$16"}</definedName>
    <definedName name="______mau03" localSheetId="0" hidden="1">{"'Sheet1'!$L$16"}</definedName>
    <definedName name="______mau03" hidden="1">{"'Sheet1'!$L$16"}</definedName>
    <definedName name="______NSO2" localSheetId="1" hidden="1">{"'Sheet1'!$L$16"}</definedName>
    <definedName name="______NSO2" localSheetId="0" hidden="1">{"'Sheet1'!$L$16"}</definedName>
    <definedName name="______NSO2" hidden="1">{"'Sheet1'!$L$16"}</definedName>
    <definedName name="______q1" localSheetId="1" hidden="1">{"'Sheet1'!$L$16"}</definedName>
    <definedName name="______q1" localSheetId="0" hidden="1">{"'Sheet1'!$L$16"}</definedName>
    <definedName name="______q1" hidden="1">{"'Sheet1'!$L$16"}</definedName>
    <definedName name="______T01" localSheetId="3" hidden="1">#REF!</definedName>
    <definedName name="______T01" localSheetId="4" hidden="1">#REF!</definedName>
    <definedName name="______T01" hidden="1">#REF!</definedName>
    <definedName name="______TK211" localSheetId="1" hidden="1">{"'Sheet1'!$L$16"}</definedName>
    <definedName name="______TK211" localSheetId="0" hidden="1">{"'Sheet1'!$L$16"}</definedName>
    <definedName name="______TK211" hidden="1">{"'Sheet1'!$L$16"}</definedName>
    <definedName name="_____a1" localSheetId="1" hidden="1">{"'Sheet1'!$L$16"}</definedName>
    <definedName name="_____a1" localSheetId="0" hidden="1">{"'Sheet1'!$L$16"}</definedName>
    <definedName name="_____a1" hidden="1">{"'Sheet1'!$L$16"}</definedName>
    <definedName name="_____a4" localSheetId="1" hidden="1">{"'Sheet1'!$L$16"}</definedName>
    <definedName name="_____a4" localSheetId="0" hidden="1">{"'Sheet1'!$L$16"}</definedName>
    <definedName name="_____a4" hidden="1">{"'Sheet1'!$L$16"}</definedName>
    <definedName name="_____b1" localSheetId="1" hidden="1">{"'Sheet1'!$L$16"}</definedName>
    <definedName name="_____b1" localSheetId="0" hidden="1">{"'Sheet1'!$L$16"}</definedName>
    <definedName name="_____b1" hidden="1">{"'Sheet1'!$L$16"}</definedName>
    <definedName name="_____b3" localSheetId="1" hidden="1">{"'Sheet1'!$L$16"}</definedName>
    <definedName name="_____b3" localSheetId="0" hidden="1">{"'Sheet1'!$L$16"}</definedName>
    <definedName name="_____b3" hidden="1">{"'Sheet1'!$L$16"}</definedName>
    <definedName name="_____CN1" localSheetId="1" hidden="1">{"'Sheet1'!$L$16"}</definedName>
    <definedName name="_____CN1" localSheetId="0" hidden="1">{"'Sheet1'!$L$16"}</definedName>
    <definedName name="_____CN1" hidden="1">{"'Sheet1'!$L$16"}</definedName>
    <definedName name="_____CT4" localSheetId="1" hidden="1">{"'Sheet1'!$L$16"}</definedName>
    <definedName name="_____CT4" localSheetId="0" hidden="1">{"'Sheet1'!$L$16"}</definedName>
    <definedName name="_____CT4" hidden="1">{"'Sheet1'!$L$16"}</definedName>
    <definedName name="_____F1" localSheetId="1" hidden="1">{"'Sheet1'!$L$16"}</definedName>
    <definedName name="_____F1" localSheetId="0" hidden="1">{"'Sheet1'!$L$16"}</definedName>
    <definedName name="_____F1" hidden="1">{"'Sheet1'!$L$16"}</definedName>
    <definedName name="_____kl11" localSheetId="1" hidden="1">{"'Sheet1'!$L$16"}</definedName>
    <definedName name="_____kl11" localSheetId="0" hidden="1">{"'Sheet1'!$L$16"}</definedName>
    <definedName name="_____kl11" hidden="1">{"'Sheet1'!$L$16"}</definedName>
    <definedName name="_____kl4" localSheetId="1" hidden="1">{"'Sheet1'!$L$16"}</definedName>
    <definedName name="_____kl4" localSheetId="0" hidden="1">{"'Sheet1'!$L$16"}</definedName>
    <definedName name="_____kl4" hidden="1">{"'Sheet1'!$L$16"}</definedName>
    <definedName name="_____kl6" localSheetId="1" hidden="1">{"'Sheet1'!$L$16"}</definedName>
    <definedName name="_____kl6" localSheetId="0" hidden="1">{"'Sheet1'!$L$16"}</definedName>
    <definedName name="_____kl6" hidden="1">{"'Sheet1'!$L$16"}</definedName>
    <definedName name="_____m1" localSheetId="1" hidden="1">{"'Sheet1'!$L$16"}</definedName>
    <definedName name="_____m1" localSheetId="0" hidden="1">{"'Sheet1'!$L$16"}</definedName>
    <definedName name="_____m1" hidden="1">{"'Sheet1'!$L$16"}</definedName>
    <definedName name="_____mau03" localSheetId="1" hidden="1">{"'Sheet1'!$L$16"}</definedName>
    <definedName name="_____mau03" localSheetId="0" hidden="1">{"'Sheet1'!$L$16"}</definedName>
    <definedName name="_____mau03" hidden="1">{"'Sheet1'!$L$16"}</definedName>
    <definedName name="_____NSO2" localSheetId="1" hidden="1">{"'Sheet1'!$L$16"}</definedName>
    <definedName name="_____NSO2" localSheetId="0" hidden="1">{"'Sheet1'!$L$16"}</definedName>
    <definedName name="_____NSO2" hidden="1">{"'Sheet1'!$L$16"}</definedName>
    <definedName name="_____q1" localSheetId="1" hidden="1">{"'Sheet1'!$L$16"}</definedName>
    <definedName name="_____q1" localSheetId="0" hidden="1">{"'Sheet1'!$L$16"}</definedName>
    <definedName name="_____q1" hidden="1">{"'Sheet1'!$L$16"}</definedName>
    <definedName name="_____T01" localSheetId="3" hidden="1">#REF!</definedName>
    <definedName name="_____T01" localSheetId="4" hidden="1">#REF!</definedName>
    <definedName name="_____T01" hidden="1">#REF!</definedName>
    <definedName name="_____tt3" localSheetId="1" hidden="1">{"'Sheet1'!$L$16"}</definedName>
    <definedName name="_____tt3" localSheetId="0" hidden="1">{"'Sheet1'!$L$16"}</definedName>
    <definedName name="_____tt3" hidden="1">{"'Sheet1'!$L$16"}</definedName>
    <definedName name="_____TH1" localSheetId="1" hidden="1">{"'Sheet1'!$L$16"}</definedName>
    <definedName name="_____TH1" localSheetId="0" hidden="1">{"'Sheet1'!$L$16"}</definedName>
    <definedName name="_____TH1" hidden="1">{"'Sheet1'!$L$16"}</definedName>
    <definedName name="_____vl1" localSheetId="1" hidden="1">{"'Sheet1'!$L$16"}</definedName>
    <definedName name="_____vl1" localSheetId="0" hidden="1">{"'Sheet1'!$L$16"}</definedName>
    <definedName name="_____vl1" hidden="1">{"'Sheet1'!$L$16"}</definedName>
    <definedName name="____a1" localSheetId="1" hidden="1">{"'Sheet1'!$L$16"}</definedName>
    <definedName name="____a1" localSheetId="0" hidden="1">{"'Sheet1'!$L$16"}</definedName>
    <definedName name="____a1" hidden="1">{"'Sheet1'!$L$16"}</definedName>
    <definedName name="____a4" localSheetId="1" hidden="1">{"'Sheet1'!$L$16"}</definedName>
    <definedName name="____a4" localSheetId="0" hidden="1">{"'Sheet1'!$L$16"}</definedName>
    <definedName name="____a4" hidden="1">{"'Sheet1'!$L$16"}</definedName>
    <definedName name="____b1" localSheetId="1" hidden="1">{"'Sheet1'!$L$16"}</definedName>
    <definedName name="____b1" localSheetId="0" hidden="1">{"'Sheet1'!$L$16"}</definedName>
    <definedName name="____b1" hidden="1">{"'Sheet1'!$L$16"}</definedName>
    <definedName name="____b3" localSheetId="1" hidden="1">{"'Sheet1'!$L$16"}</definedName>
    <definedName name="____b3" localSheetId="0" hidden="1">{"'Sheet1'!$L$16"}</definedName>
    <definedName name="____b3" hidden="1">{"'Sheet1'!$L$16"}</definedName>
    <definedName name="____CN1" localSheetId="1" hidden="1">{"'Sheet1'!$L$16"}</definedName>
    <definedName name="____CN1" localSheetId="0" hidden="1">{"'Sheet1'!$L$16"}</definedName>
    <definedName name="____CN1" hidden="1">{"'Sheet1'!$L$16"}</definedName>
    <definedName name="____CT4" localSheetId="1" hidden="1">{"'Sheet1'!$L$16"}</definedName>
    <definedName name="____CT4" localSheetId="0" hidden="1">{"'Sheet1'!$L$16"}</definedName>
    <definedName name="____CT4" hidden="1">{"'Sheet1'!$L$16"}</definedName>
    <definedName name="____F1" localSheetId="1" hidden="1">{"'Sheet1'!$L$16"}</definedName>
    <definedName name="____F1" localSheetId="0" hidden="1">{"'Sheet1'!$L$16"}</definedName>
    <definedName name="____F1" hidden="1">{"'Sheet1'!$L$16"}</definedName>
    <definedName name="____Goi8" localSheetId="1" hidden="1">{"'Sheet1'!$L$16"}</definedName>
    <definedName name="____Goi8" localSheetId="0" hidden="1">{"'Sheet1'!$L$16"}</definedName>
    <definedName name="____Goi8" hidden="1">{"'Sheet1'!$L$16"}</definedName>
    <definedName name="____m1" localSheetId="1" hidden="1">{"'Sheet1'!$L$16"}</definedName>
    <definedName name="____m1" localSheetId="0" hidden="1">{"'Sheet1'!$L$16"}</definedName>
    <definedName name="____m1" hidden="1">{"'Sheet1'!$L$16"}</definedName>
    <definedName name="____mau03" localSheetId="1" hidden="1">{"'Sheet1'!$L$16"}</definedName>
    <definedName name="____mau03" localSheetId="0" hidden="1">{"'Sheet1'!$L$16"}</definedName>
    <definedName name="____mau03" hidden="1">{"'Sheet1'!$L$16"}</definedName>
    <definedName name="____NSO2" localSheetId="1" hidden="1">{"'Sheet1'!$L$16"}</definedName>
    <definedName name="____NSO2" localSheetId="0" hidden="1">{"'Sheet1'!$L$16"}</definedName>
    <definedName name="____NSO2" hidden="1">{"'Sheet1'!$L$16"}</definedName>
    <definedName name="____q1" localSheetId="1" hidden="1">{"'Sheet1'!$L$16"}</definedName>
    <definedName name="____q1" localSheetId="0" hidden="1">{"'Sheet1'!$L$16"}</definedName>
    <definedName name="____q1" hidden="1">{"'Sheet1'!$L$16"}</definedName>
    <definedName name="____T01" localSheetId="3" hidden="1">#REF!</definedName>
    <definedName name="____T01" localSheetId="4" hidden="1">#REF!</definedName>
    <definedName name="____T01" localSheetId="0" hidden="1">#REF!</definedName>
    <definedName name="____T01" hidden="1">#REF!</definedName>
    <definedName name="____TK211" localSheetId="1" hidden="1">{"'Sheet1'!$L$16"}</definedName>
    <definedName name="____TK211" localSheetId="0" hidden="1">{"'Sheet1'!$L$16"}</definedName>
    <definedName name="____TK211" hidden="1">{"'Sheet1'!$L$16"}</definedName>
    <definedName name="___a1" localSheetId="1" hidden="1">{"'Sheet1'!$L$16"}</definedName>
    <definedName name="___a1" localSheetId="0" hidden="1">{"'Sheet1'!$L$16"}</definedName>
    <definedName name="___a1" hidden="1">{"'Sheet1'!$L$16"}</definedName>
    <definedName name="___a4" localSheetId="1" hidden="1">{"'Sheet1'!$L$16"}</definedName>
    <definedName name="___a4" localSheetId="0" hidden="1">{"'Sheet1'!$L$16"}</definedName>
    <definedName name="___a4" hidden="1">{"'Sheet1'!$L$16"}</definedName>
    <definedName name="___b1" localSheetId="1" hidden="1">{"'Sheet1'!$L$16"}</definedName>
    <definedName name="___b1" localSheetId="0" hidden="1">{"'Sheet1'!$L$16"}</definedName>
    <definedName name="___b1" hidden="1">{"'Sheet1'!$L$16"}</definedName>
    <definedName name="___b3" localSheetId="1" hidden="1">{"'Sheet1'!$L$16"}</definedName>
    <definedName name="___b3" localSheetId="0" hidden="1">{"'Sheet1'!$L$16"}</definedName>
    <definedName name="___b3" hidden="1">{"'Sheet1'!$L$16"}</definedName>
    <definedName name="___CN1" localSheetId="1" hidden="1">{"'Sheet1'!$L$16"}</definedName>
    <definedName name="___CN1" localSheetId="0" hidden="1">{"'Sheet1'!$L$16"}</definedName>
    <definedName name="___CN1" hidden="1">{"'Sheet1'!$L$16"}</definedName>
    <definedName name="___CT4" localSheetId="1" hidden="1">{"'Sheet1'!$L$16"}</definedName>
    <definedName name="___CT4" localSheetId="0" hidden="1">{"'Sheet1'!$L$16"}</definedName>
    <definedName name="___CT4" hidden="1">{"'Sheet1'!$L$16"}</definedName>
    <definedName name="___F1" localSheetId="1" hidden="1">{"'Sheet1'!$L$16"}</definedName>
    <definedName name="___F1" localSheetId="0" hidden="1">{"'Sheet1'!$L$16"}</definedName>
    <definedName name="___F1" hidden="1">{"'Sheet1'!$L$16"}</definedName>
    <definedName name="___Goi8" localSheetId="1" hidden="1">{"'Sheet1'!$L$16"}</definedName>
    <definedName name="___Goi8" localSheetId="0" hidden="1">{"'Sheet1'!$L$16"}</definedName>
    <definedName name="___Goi8" hidden="1">{"'Sheet1'!$L$16"}</definedName>
    <definedName name="___kl11" localSheetId="1" hidden="1">{"'Sheet1'!$L$16"}</definedName>
    <definedName name="___kl11" localSheetId="0" hidden="1">{"'Sheet1'!$L$16"}</definedName>
    <definedName name="___kl11" hidden="1">{"'Sheet1'!$L$16"}</definedName>
    <definedName name="___kl4" localSheetId="1" hidden="1">{"'Sheet1'!$L$16"}</definedName>
    <definedName name="___kl4" localSheetId="0" hidden="1">{"'Sheet1'!$L$16"}</definedName>
    <definedName name="___kl4" hidden="1">{"'Sheet1'!$L$16"}</definedName>
    <definedName name="___kl6" localSheetId="1" hidden="1">{"'Sheet1'!$L$16"}</definedName>
    <definedName name="___kl6" localSheetId="0" hidden="1">{"'Sheet1'!$L$16"}</definedName>
    <definedName name="___kl6" hidden="1">{"'Sheet1'!$L$16"}</definedName>
    <definedName name="___m1" localSheetId="1" hidden="1">{"'Sheet1'!$L$16"}</definedName>
    <definedName name="___m1" localSheetId="0" hidden="1">{"'Sheet1'!$L$16"}</definedName>
    <definedName name="___m1" hidden="1">{"'Sheet1'!$L$16"}</definedName>
    <definedName name="___mau03" localSheetId="1" hidden="1">{"'Sheet1'!$L$16"}</definedName>
    <definedName name="___mau03" localSheetId="0" hidden="1">{"'Sheet1'!$L$16"}</definedName>
    <definedName name="___mau03" hidden="1">{"'Sheet1'!$L$16"}</definedName>
    <definedName name="___NS03" localSheetId="1" hidden="1">{"'Sheet1'!$L$16"}</definedName>
    <definedName name="___NS03" localSheetId="0" hidden="1">{"'Sheet1'!$L$16"}</definedName>
    <definedName name="___NS03" hidden="1">{"'Sheet1'!$L$16"}</definedName>
    <definedName name="___NSO2" localSheetId="1" hidden="1">{"'Sheet1'!$L$16"}</definedName>
    <definedName name="___NSO2" localSheetId="0" hidden="1">{"'Sheet1'!$L$16"}</definedName>
    <definedName name="___NSO2" hidden="1">{"'Sheet1'!$L$16"}</definedName>
    <definedName name="___q1" localSheetId="1" hidden="1">{"'Sheet1'!$L$16"}</definedName>
    <definedName name="___q1" localSheetId="0" hidden="1">{"'Sheet1'!$L$16"}</definedName>
    <definedName name="___q1" hidden="1">{"'Sheet1'!$L$16"}</definedName>
    <definedName name="___T01" localSheetId="3" hidden="1">#REF!</definedName>
    <definedName name="___T01" localSheetId="4" hidden="1">#REF!</definedName>
    <definedName name="___T01" localSheetId="0" hidden="1">#REF!</definedName>
    <definedName name="___T01" hidden="1">#REF!</definedName>
    <definedName name="___TK211" localSheetId="1" hidden="1">{"'Sheet1'!$L$16"}</definedName>
    <definedName name="___TK211" localSheetId="0" hidden="1">{"'Sheet1'!$L$16"}</definedName>
    <definedName name="___TK211" hidden="1">{"'Sheet1'!$L$16"}</definedName>
    <definedName name="___tt3" localSheetId="1" hidden="1">{"'Sheet1'!$L$16"}</definedName>
    <definedName name="___tt3" localSheetId="0" hidden="1">{"'Sheet1'!$L$16"}</definedName>
    <definedName name="___tt3" hidden="1">{"'Sheet1'!$L$16"}</definedName>
    <definedName name="___TH1" localSheetId="1" hidden="1">{"'Sheet1'!$L$16"}</definedName>
    <definedName name="___TH1" localSheetId="0" hidden="1">{"'Sheet1'!$L$16"}</definedName>
    <definedName name="___TH1" hidden="1">{"'Sheet1'!$L$16"}</definedName>
    <definedName name="___vl1" localSheetId="1" hidden="1">{"'Sheet1'!$L$16"}</definedName>
    <definedName name="___vl1" localSheetId="0" hidden="1">{"'Sheet1'!$L$16"}</definedName>
    <definedName name="___vl1" hidden="1">{"'Sheet1'!$L$16"}</definedName>
    <definedName name="__123Graph_A" localSheetId="3" hidden="1">'[2]P&amp;L Summary Page'!#REF!</definedName>
    <definedName name="__123Graph_A" localSheetId="4" hidden="1">'[2]P&amp;L Summary Page'!#REF!</definedName>
    <definedName name="__123Graph_A" localSheetId="0" hidden="1">'[2]P&amp;L Summary Page'!#REF!</definedName>
    <definedName name="__123Graph_A" hidden="1">'[2]P&amp;L Summary Page'!#REF!</definedName>
    <definedName name="__123Graph_B" localSheetId="3" hidden="1">'[2]P&amp;L Summary Page'!#REF!</definedName>
    <definedName name="__123Graph_B" localSheetId="4" hidden="1">'[2]P&amp;L Summary Page'!#REF!</definedName>
    <definedName name="__123Graph_B" localSheetId="0" hidden="1">'[2]P&amp;L Summary Page'!#REF!</definedName>
    <definedName name="__123Graph_B" hidden="1">'[2]P&amp;L Summary Page'!#REF!</definedName>
    <definedName name="__123Graph_C" localSheetId="3" hidden="1">'[2]P&amp;L Summary Page'!#REF!</definedName>
    <definedName name="__123Graph_C" localSheetId="4" hidden="1">'[2]P&amp;L Summary Page'!#REF!</definedName>
    <definedName name="__123Graph_C" localSheetId="0" hidden="1">'[2]P&amp;L Summary Page'!#REF!</definedName>
    <definedName name="__123Graph_C" hidden="1">'[2]P&amp;L Summary Page'!#REF!</definedName>
    <definedName name="__123Graph_D" localSheetId="3" hidden="1">'[2]P&amp;L Summary Page'!#REF!</definedName>
    <definedName name="__123Graph_D" localSheetId="4" hidden="1">'[2]P&amp;L Summary Page'!#REF!</definedName>
    <definedName name="__123Graph_D" hidden="1">'[2]P&amp;L Summary Page'!#REF!</definedName>
    <definedName name="__123Graph_E" localSheetId="3" hidden="1">'[2]P&amp;L Summary Page'!#REF!</definedName>
    <definedName name="__123Graph_E" localSheetId="4" hidden="1">'[2]P&amp;L Summary Page'!#REF!</definedName>
    <definedName name="__123Graph_E" hidden="1">'[2]P&amp;L Summary Page'!#REF!</definedName>
    <definedName name="__123Graph_F" localSheetId="3" hidden="1">'[2]P&amp;L Summary Page'!#REF!</definedName>
    <definedName name="__123Graph_F" localSheetId="4" hidden="1">'[2]P&amp;L Summary Page'!#REF!</definedName>
    <definedName name="__123Graph_F" hidden="1">'[2]P&amp;L Summary Page'!#REF!</definedName>
    <definedName name="__123Graph_X" localSheetId="3" hidden="1">'[2]P&amp;L Summary Page'!#REF!</definedName>
    <definedName name="__123Graph_X" localSheetId="4" hidden="1">'[2]P&amp;L Summary Page'!#REF!</definedName>
    <definedName name="__123Graph_X" hidden="1">'[2]P&amp;L Summary Page'!#REF!</definedName>
    <definedName name="__a1" localSheetId="1" hidden="1">{"'Sheet1'!$L$16"}</definedName>
    <definedName name="__a1" localSheetId="0" hidden="1">{"'Sheet1'!$L$16"}</definedName>
    <definedName name="__a1" hidden="1">{"'Sheet1'!$L$16"}</definedName>
    <definedName name="__a2" localSheetId="1" hidden="1">{"'Sheet1'!$L$16"}</definedName>
    <definedName name="__a2" localSheetId="0" hidden="1">{"'Sheet1'!$L$16"}</definedName>
    <definedName name="__a2" hidden="1">{"'Sheet1'!$L$16"}</definedName>
    <definedName name="__a3" localSheetId="1" hidden="1">{"'Sheet1'!$L$16"}</definedName>
    <definedName name="__a3" localSheetId="0" hidden="1">{"'Sheet1'!$L$16"}</definedName>
    <definedName name="__a3" hidden="1">{"'Sheet1'!$L$16"}</definedName>
    <definedName name="__a4" localSheetId="1" hidden="1">{"'Sheet1'!$L$16"}</definedName>
    <definedName name="__a4" localSheetId="0" hidden="1">{"'Sheet1'!$L$16"}</definedName>
    <definedName name="__a4" hidden="1">{"'Sheet1'!$L$16"}</definedName>
    <definedName name="__a5" localSheetId="1" hidden="1">{"'Sheet1'!$L$16"}</definedName>
    <definedName name="__a5" localSheetId="0" hidden="1">{"'Sheet1'!$L$16"}</definedName>
    <definedName name="__a5" hidden="1">{"'Sheet1'!$L$16"}</definedName>
    <definedName name="__a6" localSheetId="1" hidden="1">{"'Sheet1'!$L$16"}</definedName>
    <definedName name="__a6" localSheetId="0" hidden="1">{"'Sheet1'!$L$16"}</definedName>
    <definedName name="__a6" hidden="1">{"'Sheet1'!$L$16"}</definedName>
    <definedName name="__b1" localSheetId="1" hidden="1">{"'Sheet1'!$L$16"}</definedName>
    <definedName name="__b1" localSheetId="0" hidden="1">{"'Sheet1'!$L$16"}</definedName>
    <definedName name="__b1" hidden="1">{"'Sheet1'!$L$16"}</definedName>
    <definedName name="__b3" localSheetId="1" hidden="1">{"'Sheet1'!$L$16"}</definedName>
    <definedName name="__b3" localSheetId="0" hidden="1">{"'Sheet1'!$L$16"}</definedName>
    <definedName name="__b3" hidden="1">{"'Sheet1'!$L$16"}</definedName>
    <definedName name="__CN1" localSheetId="1" hidden="1">{"'Sheet1'!$L$16"}</definedName>
    <definedName name="__CN1" localSheetId="0" hidden="1">{"'Sheet1'!$L$16"}</definedName>
    <definedName name="__CN1" hidden="1">{"'Sheet1'!$L$16"}</definedName>
    <definedName name="__CT4" localSheetId="1" hidden="1">{"'Sheet1'!$L$16"}</definedName>
    <definedName name="__CT4" localSheetId="0" hidden="1">{"'Sheet1'!$L$16"}</definedName>
    <definedName name="__CT4" hidden="1">{"'Sheet1'!$L$16"}</definedName>
    <definedName name="__F1" localSheetId="1" hidden="1">{"'Sheet1'!$L$16"}</definedName>
    <definedName name="__F1" localSheetId="0" hidden="1">{"'Sheet1'!$L$16"}</definedName>
    <definedName name="__F1" hidden="1">{"'Sheet1'!$L$16"}</definedName>
    <definedName name="__FDS_HYPERLINK_TOGGLE_STATE__" hidden="1">"ON"</definedName>
    <definedName name="__Goi8" localSheetId="1" hidden="1">{"'Sheet1'!$L$16"}</definedName>
    <definedName name="__Goi8" localSheetId="0" hidden="1">{"'Sheet1'!$L$16"}</definedName>
    <definedName name="__Goi8" hidden="1">{"'Sheet1'!$L$16"}</definedName>
    <definedName name="__h1" localSheetId="1" hidden="1">{"'Sheet1'!$L$16"}</definedName>
    <definedName name="__h1" localSheetId="0" hidden="1">{"'Sheet1'!$L$16"}</definedName>
    <definedName name="__h1" hidden="1">{"'Sheet1'!$L$16"}</definedName>
    <definedName name="__hu1" localSheetId="1" hidden="1">{"'Sheet1'!$L$16"}</definedName>
    <definedName name="__hu1" localSheetId="0" hidden="1">{"'Sheet1'!$L$16"}</definedName>
    <definedName name="__hu1" hidden="1">{"'Sheet1'!$L$16"}</definedName>
    <definedName name="__hu2" localSheetId="1" hidden="1">{"'Sheet1'!$L$16"}</definedName>
    <definedName name="__hu2" localSheetId="0" hidden="1">{"'Sheet1'!$L$16"}</definedName>
    <definedName name="__hu2" hidden="1">{"'Sheet1'!$L$16"}</definedName>
    <definedName name="__hu5" localSheetId="1" hidden="1">{"'Sheet1'!$L$16"}</definedName>
    <definedName name="__hu5" localSheetId="0" hidden="1">{"'Sheet1'!$L$16"}</definedName>
    <definedName name="__hu5" hidden="1">{"'Sheet1'!$L$16"}</definedName>
    <definedName name="__hu6" localSheetId="1" hidden="1">{"'Sheet1'!$L$16"}</definedName>
    <definedName name="__hu6" localSheetId="0" hidden="1">{"'Sheet1'!$L$16"}</definedName>
    <definedName name="__hu6" hidden="1">{"'Sheet1'!$L$16"}</definedName>
    <definedName name="__hu7" localSheetId="1" hidden="1">{"'Sheet1'!$L$16"}</definedName>
    <definedName name="__hu7" localSheetId="0" hidden="1">{"'Sheet1'!$L$16"}</definedName>
    <definedName name="__hu7" hidden="1">{"'Sheet1'!$L$16"}</definedName>
    <definedName name="__IntlFixup" hidden="1">TRUE</definedName>
    <definedName name="__kl11" localSheetId="1" hidden="1">{"'Sheet1'!$L$16"}</definedName>
    <definedName name="__kl11" localSheetId="0" hidden="1">{"'Sheet1'!$L$16"}</definedName>
    <definedName name="__kl11" hidden="1">{"'Sheet1'!$L$16"}</definedName>
    <definedName name="__kl4" localSheetId="1" hidden="1">{"'Sheet1'!$L$16"}</definedName>
    <definedName name="__kl4" localSheetId="0" hidden="1">{"'Sheet1'!$L$16"}</definedName>
    <definedName name="__kl4" hidden="1">{"'Sheet1'!$L$16"}</definedName>
    <definedName name="__kl6" localSheetId="1" hidden="1">{"'Sheet1'!$L$16"}</definedName>
    <definedName name="__kl6" localSheetId="0" hidden="1">{"'Sheet1'!$L$16"}</definedName>
    <definedName name="__kl6" hidden="1">{"'Sheet1'!$L$16"}</definedName>
    <definedName name="__m1" localSheetId="1" hidden="1">{"'Sheet1'!$L$16"}</definedName>
    <definedName name="__m1" localSheetId="0" hidden="1">{"'Sheet1'!$L$16"}</definedName>
    <definedName name="__m1" hidden="1">{"'Sheet1'!$L$16"}</definedName>
    <definedName name="__mau03" localSheetId="1" hidden="1">{"'Sheet1'!$L$16"}</definedName>
    <definedName name="__mau03" localSheetId="0" hidden="1">{"'Sheet1'!$L$16"}</definedName>
    <definedName name="__mau03" hidden="1">{"'Sheet1'!$L$16"}</definedName>
    <definedName name="__NSO2" localSheetId="1" hidden="1">{"'Sheet1'!$L$16"}</definedName>
    <definedName name="__NSO2" localSheetId="0" hidden="1">{"'Sheet1'!$L$16"}</definedName>
    <definedName name="__NSO2" hidden="1">{"'Sheet1'!$L$16"}</definedName>
    <definedName name="__PA3" localSheetId="1" hidden="1">{"'Sheet1'!$L$16"}</definedName>
    <definedName name="__PA3" localSheetId="0" hidden="1">{"'Sheet1'!$L$16"}</definedName>
    <definedName name="__PA3" hidden="1">{"'Sheet1'!$L$16"}</definedName>
    <definedName name="__q1" localSheetId="1" hidden="1">{"'Sheet1'!$L$16"}</definedName>
    <definedName name="__q1" localSheetId="0" hidden="1">{"'Sheet1'!$L$16"}</definedName>
    <definedName name="__q1" hidden="1">{"'Sheet1'!$L$16"}</definedName>
    <definedName name="__sep1" localSheetId="1" hidden="1">{#N/A,#N/A,TRUE,"rate";#N/A,#N/A,TRUE,"E1005CH";#N/A,#N/A,TRUE,"E2800CH";#N/A,#N/A,TRUE,"E8118CH";#N/A,#N/A,TRUE,"E8157CH";#N/A,#N/A,TRUE,"E8213CH";#N/A,#N/A,TRUE,"pursue"}</definedName>
    <definedName name="__sep1" localSheetId="0" hidden="1">{#N/A,#N/A,TRUE,"rate";#N/A,#N/A,TRUE,"E1005CH";#N/A,#N/A,TRUE,"E2800CH";#N/A,#N/A,TRUE,"E8118CH";#N/A,#N/A,TRUE,"E8157CH";#N/A,#N/A,TRUE,"E8213CH";#N/A,#N/A,TRUE,"pursue"}</definedName>
    <definedName name="__sep1" hidden="1">{#N/A,#N/A,TRUE,"rate";#N/A,#N/A,TRUE,"E1005CH";#N/A,#N/A,TRUE,"E2800CH";#N/A,#N/A,TRUE,"E8118CH";#N/A,#N/A,TRUE,"E8157CH";#N/A,#N/A,TRUE,"E8213CH";#N/A,#N/A,TRUE,"pursue"}</definedName>
    <definedName name="__T01" localSheetId="3" hidden="1">#REF!</definedName>
    <definedName name="__T01" localSheetId="4" hidden="1">#REF!</definedName>
    <definedName name="__T01" localSheetId="0" hidden="1">#REF!</definedName>
    <definedName name="__T01" hidden="1">#REF!</definedName>
    <definedName name="__T10" localSheetId="1" hidden="1">{"'Sheet1'!$L$16"}</definedName>
    <definedName name="__T10" localSheetId="0" hidden="1">{"'Sheet1'!$L$16"}</definedName>
    <definedName name="__T10" hidden="1">{"'Sheet1'!$L$16"}</definedName>
    <definedName name="__TK211" localSheetId="1" hidden="1">{"'Sheet1'!$L$16"}</definedName>
    <definedName name="__TK211" localSheetId="0" hidden="1">{"'Sheet1'!$L$16"}</definedName>
    <definedName name="__TK211" hidden="1">{"'Sheet1'!$L$16"}</definedName>
    <definedName name="__tt3" localSheetId="1" hidden="1">{"'Sheet1'!$L$16"}</definedName>
    <definedName name="__tt3" localSheetId="0" hidden="1">{"'Sheet1'!$L$16"}</definedName>
    <definedName name="__tt3" hidden="1">{"'Sheet1'!$L$16"}</definedName>
    <definedName name="__TH1" localSheetId="1" hidden="1">{"'Sheet1'!$L$16"}</definedName>
    <definedName name="__TH1" localSheetId="0" hidden="1">{"'Sheet1'!$L$16"}</definedName>
    <definedName name="__TH1" hidden="1">{"'Sheet1'!$L$16"}</definedName>
    <definedName name="__vl1" localSheetId="1" hidden="1">{"'Sheet1'!$L$16"}</definedName>
    <definedName name="__vl1" localSheetId="0" hidden="1">{"'Sheet1'!$L$16"}</definedName>
    <definedName name="__vl1" hidden="1">{"'Sheet1'!$L$16"}</definedName>
    <definedName name="_1_??" hidden="1">'[1]????&lt;?&gt;'!$A$5:$A$14</definedName>
    <definedName name="_a1" localSheetId="1" hidden="1">{"'Sheet1'!$L$16"}</definedName>
    <definedName name="_a1" localSheetId="0" hidden="1">{"'Sheet1'!$L$16"}</definedName>
    <definedName name="_a1" hidden="1">{"'Sheet1'!$L$16"}</definedName>
    <definedName name="_a2" localSheetId="1" hidden="1">{"'Sheet1'!$L$16"}</definedName>
    <definedName name="_a2" localSheetId="0" hidden="1">{"'Sheet1'!$L$16"}</definedName>
    <definedName name="_a2" hidden="1">{"'Sheet1'!$L$16"}</definedName>
    <definedName name="_a3" localSheetId="1" hidden="1">{"'Sheet1'!$L$16"}</definedName>
    <definedName name="_a3" localSheetId="0" hidden="1">{"'Sheet1'!$L$16"}</definedName>
    <definedName name="_a3" hidden="1">{"'Sheet1'!$L$16"}</definedName>
    <definedName name="_a4" localSheetId="1" hidden="1">{"'Sheet1'!$L$16"}</definedName>
    <definedName name="_a4" localSheetId="0" hidden="1">{"'Sheet1'!$L$16"}</definedName>
    <definedName name="_a4" hidden="1">{"'Sheet1'!$L$16"}</definedName>
    <definedName name="_a5" localSheetId="1" hidden="1">{"'Sheet1'!$L$16"}</definedName>
    <definedName name="_a5" localSheetId="0" hidden="1">{"'Sheet1'!$L$16"}</definedName>
    <definedName name="_a5" hidden="1">{"'Sheet1'!$L$16"}</definedName>
    <definedName name="_a6" localSheetId="1" hidden="1">{"'Sheet1'!$L$16"}</definedName>
    <definedName name="_a6" localSheetId="0" hidden="1">{"'Sheet1'!$L$16"}</definedName>
    <definedName name="_a6" hidden="1">{"'Sheet1'!$L$16"}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2047</definedName>
    <definedName name="_AtRisk_SimSetting_SimNameCount" hidden="1">0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1" localSheetId="1" hidden="1">{"'Sheet1'!$L$16"}</definedName>
    <definedName name="_b1" localSheetId="0" hidden="1">{"'Sheet1'!$L$16"}</definedName>
    <definedName name="_b1" hidden="1">{"'Sheet1'!$L$16"}</definedName>
    <definedName name="_b3" localSheetId="1" hidden="1">{"'Sheet1'!$L$16"}</definedName>
    <definedName name="_b3" localSheetId="0" hidden="1">{"'Sheet1'!$L$16"}</definedName>
    <definedName name="_b3" hidden="1">{"'Sheet1'!$L$16"}</definedName>
    <definedName name="_CN1" localSheetId="1" hidden="1">{"'Sheet1'!$L$16"}</definedName>
    <definedName name="_CN1" localSheetId="0" hidden="1">{"'Sheet1'!$L$16"}</definedName>
    <definedName name="_CN1" hidden="1">{"'Sheet1'!$L$16"}</definedName>
    <definedName name="_CT4" localSheetId="1" hidden="1">{"'Sheet1'!$L$16"}</definedName>
    <definedName name="_CT4" localSheetId="0" hidden="1">{"'Sheet1'!$L$16"}</definedName>
    <definedName name="_CT4" hidden="1">{"'Sheet1'!$L$16"}</definedName>
    <definedName name="_Do" localSheetId="3" hidden="1">#REF!</definedName>
    <definedName name="_Do" localSheetId="4" hidden="1">#REF!</definedName>
    <definedName name="_Do" localSheetId="0" hidden="1">#REF!</definedName>
    <definedName name="_Do" hidden="1">#REF!</definedName>
    <definedName name="_F1" localSheetId="1" hidden="1">{"'Sheet1'!$L$16"}</definedName>
    <definedName name="_F1" localSheetId="0" hidden="1">{"'Sheet1'!$L$16"}</definedName>
    <definedName name="_F1" hidden="1">{"'Sheet1'!$L$16"}</definedName>
    <definedName name="_f5" localSheetId="1" hidden="1">{"'Sheet1'!$L$16"}</definedName>
    <definedName name="_f5" localSheetId="0" hidden="1">{"'Sheet1'!$L$16"}</definedName>
    <definedName name="_f5" hidden="1">{"'Sheet1'!$L$16"}</definedName>
    <definedName name="_Fill" localSheetId="3" hidden="1">#REF!</definedName>
    <definedName name="_Fill" localSheetId="4" hidden="1">#REF!</definedName>
    <definedName name="_Fill" localSheetId="0" hidden="1">#REF!</definedName>
    <definedName name="_Fill" hidden="1">#REF!</definedName>
    <definedName name="_fill1" localSheetId="3" hidden="1">#REF!</definedName>
    <definedName name="_fill1" localSheetId="4" hidden="1">#REF!</definedName>
    <definedName name="_fill1" localSheetId="0" hidden="1">#REF!</definedName>
    <definedName name="_fill1" hidden="1">#REF!</definedName>
    <definedName name="_xlnm._FilterDatabase" localSheetId="1" hidden="1">'CPQLDN.'!$A$2:$AU$119</definedName>
    <definedName name="_xlnm._FilterDatabase" localSheetId="5" hidden="1">'Danh mục CP QLDN chi tiết'!$A$1:$D$96</definedName>
    <definedName name="_xlnm._FilterDatabase" localSheetId="3" hidden="1">#REF!</definedName>
    <definedName name="_xlnm._FilterDatabase" localSheetId="4" hidden="1">#REF!</definedName>
    <definedName name="_xlnm._FilterDatabase" localSheetId="0" hidden="1">'TỔNG HỢP KHKD 2025'!$A$7:$A$118</definedName>
    <definedName name="_xlnm._FilterDatabase" hidden="1">#REF!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Key1" localSheetId="3" hidden="1">#REF!</definedName>
    <definedName name="_Key1" localSheetId="4" hidden="1">#REF!</definedName>
    <definedName name="_Key1" localSheetId="0" hidden="1">#REF!</definedName>
    <definedName name="_Key1" hidden="1">#REF!</definedName>
    <definedName name="_Key1.1" localSheetId="3" hidden="1">#REF!</definedName>
    <definedName name="_Key1.1" localSheetId="4" hidden="1">#REF!</definedName>
    <definedName name="_Key1.1" localSheetId="0" hidden="1">#REF!</definedName>
    <definedName name="_Key1.1" hidden="1">#REF!</definedName>
    <definedName name="_Key1.2" localSheetId="3" hidden="1">#REF!</definedName>
    <definedName name="_Key1.2" localSheetId="4" hidden="1">#REF!</definedName>
    <definedName name="_Key1.2" localSheetId="0" hidden="1">#REF!</definedName>
    <definedName name="_Key1.2" hidden="1">#REF!</definedName>
    <definedName name="_Key1.3" localSheetId="3" hidden="1">#REF!</definedName>
    <definedName name="_Key1.3" localSheetId="4" hidden="1">#REF!</definedName>
    <definedName name="_Key1.3" localSheetId="0" hidden="1">#REF!</definedName>
    <definedName name="_Key1.3" hidden="1">#REF!</definedName>
    <definedName name="_Key2" localSheetId="3" hidden="1">#REF!</definedName>
    <definedName name="_Key2" localSheetId="4" hidden="1">#REF!</definedName>
    <definedName name="_Key2" localSheetId="0" hidden="1">#REF!</definedName>
    <definedName name="_Key2" hidden="1">#REF!</definedName>
    <definedName name="_kl11" localSheetId="1" hidden="1">{"'Sheet1'!$L$16"}</definedName>
    <definedName name="_kl11" localSheetId="0" hidden="1">{"'Sheet1'!$L$16"}</definedName>
    <definedName name="_kl11" hidden="1">{"'Sheet1'!$L$16"}</definedName>
    <definedName name="_kl4" localSheetId="1" hidden="1">{"'Sheet1'!$L$16"}</definedName>
    <definedName name="_kl4" localSheetId="0" hidden="1">{"'Sheet1'!$L$16"}</definedName>
    <definedName name="_kl4" hidden="1">{"'Sheet1'!$L$16"}</definedName>
    <definedName name="_kl6" localSheetId="1" hidden="1">{"'Sheet1'!$L$16"}</definedName>
    <definedName name="_kl6" localSheetId="0" hidden="1">{"'Sheet1'!$L$16"}</definedName>
    <definedName name="_kl6" hidden="1">{"'Sheet1'!$L$16"}</definedName>
    <definedName name="_ld2" localSheetId="1" hidden="1">{"'Sheet1'!$L$16"}</definedName>
    <definedName name="_ld2" localSheetId="0" hidden="1">{"'Sheet1'!$L$16"}</definedName>
    <definedName name="_ld2" hidden="1">{"'Sheet1'!$L$16"}</definedName>
    <definedName name="_m1" localSheetId="1" hidden="1">{"'Sheet1'!$L$16"}</definedName>
    <definedName name="_m1" localSheetId="0" hidden="1">{"'Sheet1'!$L$16"}</definedName>
    <definedName name="_m1" hidden="1">{"'Sheet1'!$L$16"}</definedName>
    <definedName name="_mau03" localSheetId="1" hidden="1">{"'Sheet1'!$L$16"}</definedName>
    <definedName name="_mau03" localSheetId="0" hidden="1">{"'Sheet1'!$L$16"}</definedName>
    <definedName name="_mau03" hidden="1">{"'Sheet1'!$L$16"}</definedName>
    <definedName name="_NS02" localSheetId="1" hidden="1">{"'Sheet1'!$L$16"}</definedName>
    <definedName name="_NS02" localSheetId="0" hidden="1">{"'Sheet1'!$L$16"}</definedName>
    <definedName name="_NS02" hidden="1">{"'Sheet1'!$L$16"}</definedName>
    <definedName name="_NS03" localSheetId="1" hidden="1">{"'Sheet1'!$L$16"}</definedName>
    <definedName name="_NS03" localSheetId="0" hidden="1">{"'Sheet1'!$L$16"}</definedName>
    <definedName name="_NS03" hidden="1">{"'Sheet1'!$L$16"}</definedName>
    <definedName name="_NSO2" localSheetId="1" hidden="1">{"'Sheet1'!$L$16"}</definedName>
    <definedName name="_NSO2" localSheetId="0" hidden="1">{"'Sheet1'!$L$16"}</definedName>
    <definedName name="_NSO2" hidden="1">{"'Sheet1'!$L$16"}</definedName>
    <definedName name="_Order1" hidden="1">255</definedName>
    <definedName name="_Order2" hidden="1">255</definedName>
    <definedName name="_PA3" localSheetId="1" hidden="1">{"'Sheet1'!$L$16"}</definedName>
    <definedName name="_PA3" localSheetId="0" hidden="1">{"'Sheet1'!$L$16"}</definedName>
    <definedName name="_PA3" hidden="1">{"'Sheet1'!$L$16"}</definedName>
    <definedName name="_Parse_Out" localSheetId="3" hidden="1">[3]Quantity!#REF!</definedName>
    <definedName name="_Parse_Out" localSheetId="4" hidden="1">[3]Quantity!#REF!</definedName>
    <definedName name="_Parse_Out" hidden="1">[3]Quantity!#REF!</definedName>
    <definedName name="_q1" localSheetId="1" hidden="1">{"'Sheet1'!$L$16"}</definedName>
    <definedName name="_q1" localSheetId="0" hidden="1">{"'Sheet1'!$L$16"}</definedName>
    <definedName name="_q1" hidden="1">{"'Sheet1'!$L$16"}</definedName>
    <definedName name="_sep1" localSheetId="1" hidden="1">{#N/A,#N/A,TRUE,"rate";#N/A,#N/A,TRUE,"E1005CH";#N/A,#N/A,TRUE,"E2800CH";#N/A,#N/A,TRUE,"E8118CH";#N/A,#N/A,TRUE,"E8157CH";#N/A,#N/A,TRUE,"E8213CH";#N/A,#N/A,TRUE,"pursue"}</definedName>
    <definedName name="_sep1" localSheetId="0" hidden="1">{#N/A,#N/A,TRUE,"rate";#N/A,#N/A,TRUE,"E1005CH";#N/A,#N/A,TRUE,"E2800CH";#N/A,#N/A,TRUE,"E8118CH";#N/A,#N/A,TRUE,"E8157CH";#N/A,#N/A,TRUE,"E8213CH";#N/A,#N/A,TRUE,"pursue"}</definedName>
    <definedName name="_sep1" hidden="1">{#N/A,#N/A,TRUE,"rate";#N/A,#N/A,TRUE,"E1005CH";#N/A,#N/A,TRUE,"E2800CH";#N/A,#N/A,TRUE,"E8118CH";#N/A,#N/A,TRUE,"E8157CH";#N/A,#N/A,TRUE,"E8213CH";#N/A,#N/A,TRUE,"pursue"}</definedName>
    <definedName name="_Sort" localSheetId="3" hidden="1">#REF!</definedName>
    <definedName name="_Sort" localSheetId="4" hidden="1">#REF!</definedName>
    <definedName name="_Sort" localSheetId="0" hidden="1">#REF!</definedName>
    <definedName name="_Sort" hidden="1">#REF!</definedName>
    <definedName name="_Sort1.1" localSheetId="3" hidden="1">#REF!</definedName>
    <definedName name="_Sort1.1" localSheetId="4" hidden="1">#REF!</definedName>
    <definedName name="_Sort1.1" localSheetId="0" hidden="1">#REF!</definedName>
    <definedName name="_Sort1.1" hidden="1">#REF!</definedName>
    <definedName name="_Sort1.2" localSheetId="3" hidden="1">#REF!</definedName>
    <definedName name="_Sort1.2" localSheetId="4" hidden="1">#REF!</definedName>
    <definedName name="_Sort1.2" localSheetId="0" hidden="1">#REF!</definedName>
    <definedName name="_Sort1.2" hidden="1">#REF!</definedName>
    <definedName name="_Sort1.3" localSheetId="3" hidden="1">#REF!</definedName>
    <definedName name="_Sort1.3" localSheetId="4" hidden="1">#REF!</definedName>
    <definedName name="_Sort1.3" localSheetId="0" hidden="1">#REF!</definedName>
    <definedName name="_Sort1.3" hidden="1">#REF!</definedName>
    <definedName name="_T01" localSheetId="3" hidden="1">#REF!</definedName>
    <definedName name="_T01" localSheetId="4" hidden="1">#REF!</definedName>
    <definedName name="_T01" localSheetId="0" hidden="1">#REF!</definedName>
    <definedName name="_T01" hidden="1">#REF!</definedName>
    <definedName name="_T3" localSheetId="1" hidden="1">{"'Sheet1'!$L$16"}</definedName>
    <definedName name="_T3" localSheetId="0" hidden="1">{"'Sheet1'!$L$16"}</definedName>
    <definedName name="_T3" hidden="1">{"'Sheet1'!$L$16"}</definedName>
    <definedName name="_TK211" localSheetId="1" hidden="1">{"'Sheet1'!$L$16"}</definedName>
    <definedName name="_TK211" localSheetId="0" hidden="1">{"'Sheet1'!$L$16"}</definedName>
    <definedName name="_TK211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H1" localSheetId="1" hidden="1">{"'Sheet1'!$L$16"}</definedName>
    <definedName name="_TH1" localSheetId="0" hidden="1">{"'Sheet1'!$L$16"}</definedName>
    <definedName name="_TH1" hidden="1">{"'Sheet1'!$L$16"}</definedName>
    <definedName name="_vl1" localSheetId="1" hidden="1">{"'Sheet1'!$L$16"}</definedName>
    <definedName name="_vl1" localSheetId="0" hidden="1">{"'Sheet1'!$L$16"}</definedName>
    <definedName name="_vl1" hidden="1">{"'Sheet1'!$L$16"}</definedName>
    <definedName name="aaaa" localSheetId="3" hidden="1">#REF!</definedName>
    <definedName name="aaaa" localSheetId="4" hidden="1">#REF!</definedName>
    <definedName name="aaaa" localSheetId="0" hidden="1">#REF!</definedName>
    <definedName name="aaaa" hidden="1">#REF!</definedName>
    <definedName name="aaaaaaa" localSheetId="3" hidden="1">#REF!</definedName>
    <definedName name="aaaaaaa" localSheetId="4" hidden="1">#REF!</definedName>
    <definedName name="aaaaaaa" localSheetId="0" hidden="1">#REF!</definedName>
    <definedName name="aaaaaaa" hidden="1">#REF!</definedName>
    <definedName name="aaaaaaaa" localSheetId="1" hidden="1">{#N/A,#N/A,FALSE,"F.E-register";#N/A,#N/A,FALSE,"MV-register";#N/A,#N/A,FALSE,"Off.Eq-Resister";#N/A,#N/A,FALSE,"Off.F&amp;F.resister";#N/A,#N/A,FALSE,"CPT-resister";#N/A,#N/A,FALSE,"H Equip-resister"}</definedName>
    <definedName name="aaaaaaaa" localSheetId="0" hidden="1">{#N/A,#N/A,FALSE,"F.E-register";#N/A,#N/A,FALSE,"MV-register";#N/A,#N/A,FALSE,"Off.Eq-Resister";#N/A,#N/A,FALSE,"Off.F&amp;F.resister";#N/A,#N/A,FALSE,"CPT-resister";#N/A,#N/A,FALSE,"H Equip-resister"}</definedName>
    <definedName name="aaaaaaaa" hidden="1">{#N/A,#N/A,FALSE,"F.E-register";#N/A,#N/A,FALSE,"MV-register";#N/A,#N/A,FALSE,"Off.Eq-Resister";#N/A,#N/A,FALSE,"Off.F&amp;F.resister";#N/A,#N/A,FALSE,"CPT-resister";#N/A,#N/A,FALSE,"H Equip-resister"}</definedName>
    <definedName name="AAAAAAAAAAAAA" localSheetId="3" hidden="1">#REF!</definedName>
    <definedName name="AAAAAAAAAAAAA" localSheetId="4" hidden="1">#REF!</definedName>
    <definedName name="AAAAAAAAAAAAA" hidden="1">#REF!</definedName>
    <definedName name="aaaaaaaaaaaaaaaaaav" localSheetId="3" hidden="1">#REF!</definedName>
    <definedName name="aaaaaaaaaaaaaaaaaav" localSheetId="4" hidden="1">#REF!</definedName>
    <definedName name="aaaaaaaaaaaaaaaaaav" localSheetId="0" hidden="1">#REF!</definedName>
    <definedName name="aaaaaaaaaaaaaaaaaav" hidden="1">#REF!</definedName>
    <definedName name="aaaaaaav" localSheetId="3" hidden="1">#REF!</definedName>
    <definedName name="aaaaaaav" localSheetId="4" hidden="1">#REF!</definedName>
    <definedName name="aaaaaaav" localSheetId="0" hidden="1">#REF!</definedName>
    <definedName name="aaaaaaav" hidden="1">#REF!</definedName>
    <definedName name="aaaaaav" localSheetId="3" hidden="1">#REF!</definedName>
    <definedName name="aaaaaav" localSheetId="4" hidden="1">#REF!</definedName>
    <definedName name="aaaaaav" localSheetId="0" hidden="1">#REF!</definedName>
    <definedName name="aaaaaav" hidden="1">#REF!</definedName>
    <definedName name="aaaaar" localSheetId="3" hidden="1">#REF!</definedName>
    <definedName name="aaaaar" localSheetId="4" hidden="1">#REF!</definedName>
    <definedName name="aaaaar" localSheetId="0" hidden="1">#REF!</definedName>
    <definedName name="aaaaar" hidden="1">#REF!</definedName>
    <definedName name="aasc" localSheetId="1" hidden="1">{"'Sheet1'!$L$16"}</definedName>
    <definedName name="aasc" localSheetId="0" hidden="1">{"'Sheet1'!$L$16"}</definedName>
    <definedName name="aasc" hidden="1">{"'Sheet1'!$L$16"}</definedName>
    <definedName name="aass" localSheetId="1" hidden="1">{"'Sheet1'!$L$16"}</definedName>
    <definedName name="aass" localSheetId="0" hidden="1">{"'Sheet1'!$L$16"}</definedName>
    <definedName name="aass" hidden="1">{"'Sheet1'!$L$16"}</definedName>
    <definedName name="abcd" localSheetId="3" hidden="1">#REF!</definedName>
    <definedName name="abcd" localSheetId="4" hidden="1">#REF!</definedName>
    <definedName name="abcd" localSheetId="0" hidden="1">#REF!</definedName>
    <definedName name="abcd" hidden="1">#REF!</definedName>
    <definedName name="abcdafalfajfa" localSheetId="1" hidden="1">{#N/A,#N/A,FALSE,"F.E-register";#N/A,#N/A,FALSE,"MV-register";#N/A,#N/A,FALSE,"Off.Eq-Resister";#N/A,#N/A,FALSE,"Off.F&amp;F.resister";#N/A,#N/A,FALSE,"CPT-resister";#N/A,#N/A,FALSE,"H Equip-resister"}</definedName>
    <definedName name="abcdafalfajfa" localSheetId="0" hidden="1">{#N/A,#N/A,FALSE,"F.E-register";#N/A,#N/A,FALSE,"MV-register";#N/A,#N/A,FALSE,"Off.Eq-Resister";#N/A,#N/A,FALSE,"Off.F&amp;F.resister";#N/A,#N/A,FALSE,"CPT-resister";#N/A,#N/A,FALSE,"H Equip-resister"}</definedName>
    <definedName name="abcdafalfajfa" hidden="1">{#N/A,#N/A,FALSE,"F.E-register";#N/A,#N/A,FALSE,"MV-register";#N/A,#N/A,FALSE,"Off.Eq-Resister";#N/A,#N/A,FALSE,"Off.F&amp;F.resister";#N/A,#N/A,FALSE,"CPT-resister";#N/A,#N/A,FALSE,"H Equip-resister"}</definedName>
    <definedName name="abd" localSheetId="3" hidden="1">#REF!</definedName>
    <definedName name="abd" localSheetId="4" hidden="1">#REF!</definedName>
    <definedName name="abd" hidden="1">#REF!</definedName>
    <definedName name="abe" localSheetId="3" hidden="1">#REF!</definedName>
    <definedName name="abe" localSheetId="4" hidden="1">#REF!</definedName>
    <definedName name="abe" localSheetId="0" hidden="1">#REF!</definedName>
    <definedName name="abe" hidden="1">#REF!</definedName>
    <definedName name="ac" localSheetId="1" hidden="1">{#N/A,#N/A,FALSE,"F.E-register";#N/A,#N/A,FALSE,"MV-register";#N/A,#N/A,FALSE,"Off.Eq-Resister";#N/A,#N/A,FALSE,"Off.F&amp;F.resister";#N/A,#N/A,FALSE,"CPT-resister";#N/A,#N/A,FALSE,"H Equip-resister"}</definedName>
    <definedName name="ac" localSheetId="0" hidden="1">{#N/A,#N/A,FALSE,"F.E-register";#N/A,#N/A,FALSE,"MV-register";#N/A,#N/A,FALSE,"Off.Eq-Resister";#N/A,#N/A,FALSE,"Off.F&amp;F.resister";#N/A,#N/A,FALSE,"CPT-resister";#N/A,#N/A,FALSE,"H Equip-resister"}</definedName>
    <definedName name="ac" hidden="1">{#N/A,#N/A,FALSE,"F.E-register";#N/A,#N/A,FALSE,"MV-register";#N/A,#N/A,FALSE,"Off.Eq-Resister";#N/A,#N/A,FALSE,"Off.F&amp;F.resister";#N/A,#N/A,FALSE,"CPT-resister";#N/A,#N/A,FALSE,"H Equip-resister"}</definedName>
    <definedName name="AccessDatabase" hidden="1">"C:\Documents and Settings\trong.tran\My Documents\Phieu thu chi.mdb"</definedName>
    <definedName name="acxc" localSheetId="3" hidden="1">#REF!</definedName>
    <definedName name="acxc" localSheetId="4" hidden="1">#REF!</definedName>
    <definedName name="acxc" localSheetId="0" hidden="1">#REF!</definedName>
    <definedName name="acxc" hidden="1">#REF!</definedName>
    <definedName name="acxfafa" localSheetId="3" hidden="1">#REF!</definedName>
    <definedName name="acxfafa" localSheetId="4" hidden="1">#REF!</definedName>
    <definedName name="acxfafa" localSheetId="0" hidden="1">#REF!</definedName>
    <definedName name="acxfafa" hidden="1">#REF!</definedName>
    <definedName name="acxvczv" localSheetId="3" hidden="1">#REF!</definedName>
    <definedName name="acxvczv" localSheetId="4" hidden="1">#REF!</definedName>
    <definedName name="acxvczv" localSheetId="0" hidden="1">#REF!</definedName>
    <definedName name="acxvczv" hidden="1">#REF!</definedName>
    <definedName name="ad" localSheetId="1" hidden="1">{"'Sheet1'!$L$16"}</definedName>
    <definedName name="ad" localSheetId="0" hidden="1">{"'Sheet1'!$L$16"}</definedName>
    <definedName name="ad" hidden="1">{"'Sheet1'!$L$16"}</definedName>
    <definedName name="adfaf" localSheetId="3" hidden="1">#REF!</definedName>
    <definedName name="adfaf" localSheetId="4" hidden="1">#REF!</definedName>
    <definedName name="adfaf" hidden="1">#REF!</definedName>
    <definedName name="ádfaf" localSheetId="3" hidden="1">#REF!</definedName>
    <definedName name="ádfaf" localSheetId="4" hidden="1">#REF!</definedName>
    <definedName name="ádfaf" localSheetId="0" hidden="1">#REF!</definedName>
    <definedName name="ádfaf" hidden="1">#REF!</definedName>
    <definedName name="adghlc.xls" localSheetId="1" hidden="1">{"'Sheet1'!$L$16"}</definedName>
    <definedName name="adghlc.xls" localSheetId="0" hidden="1">{"'Sheet1'!$L$16"}</definedName>
    <definedName name="adghlc.xls" hidden="1">{"'Sheet1'!$L$16"}</definedName>
    <definedName name="adksg.xls" localSheetId="1" hidden="1">{"'Sheet1'!$L$16"}</definedName>
    <definedName name="adksg.xls" localSheetId="0" hidden="1">{"'Sheet1'!$L$16"}</definedName>
    <definedName name="adksg.xls" hidden="1">{"'Sheet1'!$L$16"}</definedName>
    <definedName name="ádw" localSheetId="3" hidden="1">#REF!</definedName>
    <definedName name="ádw" localSheetId="4" hidden="1">#REF!</definedName>
    <definedName name="ádw" hidden="1">#REF!</definedName>
    <definedName name="ádwqf" localSheetId="3" hidden="1">#REF!</definedName>
    <definedName name="ádwqf" localSheetId="4" hidden="1">#REF!</definedName>
    <definedName name="ádwqf" localSheetId="0" hidden="1">#REF!</definedName>
    <definedName name="ádwqf" hidden="1">#REF!</definedName>
    <definedName name="ae" localSheetId="1" hidden="1">{"'Sheet1'!$L$16"}</definedName>
    <definedName name="ae" localSheetId="0" hidden="1">{"'Sheet1'!$L$16"}</definedName>
    <definedName name="ae" hidden="1">{"'Sheet1'!$L$16"}</definedName>
    <definedName name="afasfsagfas" localSheetId="1" hidden="1">{#N/A,#N/A,FALSE,"Chi tiÆt"}</definedName>
    <definedName name="afasfsagfas" localSheetId="0" hidden="1">{#N/A,#N/A,FALSE,"Chi tiÆt"}</definedName>
    <definedName name="afasfsagfas" hidden="1">{#N/A,#N/A,FALSE,"Chi tiÆt"}</definedName>
    <definedName name="aff" localSheetId="1" hidden="1">{#N/A,#N/A,FALSE,"F.E-register";#N/A,#N/A,FALSE,"MV-register";#N/A,#N/A,FALSE,"Off.Eq-Resister";#N/A,#N/A,FALSE,"Off.F&amp;F.resister";#N/A,#N/A,FALSE,"CPT-resister";#N/A,#N/A,FALSE,"H Equip-resister"}</definedName>
    <definedName name="aff" localSheetId="0" hidden="1">{#N/A,#N/A,FALSE,"F.E-register";#N/A,#N/A,FALSE,"MV-register";#N/A,#N/A,FALSE,"Off.Eq-Resister";#N/A,#N/A,FALSE,"Off.F&amp;F.resister";#N/A,#N/A,FALSE,"CPT-resister";#N/A,#N/A,FALSE,"H Equip-resister"}</definedName>
    <definedName name="aff" hidden="1">{#N/A,#N/A,FALSE,"F.E-register";#N/A,#N/A,FALSE,"MV-register";#N/A,#N/A,FALSE,"Off.Eq-Resister";#N/A,#N/A,FALSE,"Off.F&amp;F.resister";#N/A,#N/A,FALSE,"CPT-resister";#N/A,#N/A,FALSE,"H Equip-resister"}</definedName>
    <definedName name="agag" localSheetId="1" hidden="1">{"adj95mult",#N/A,FALSE,"COMPCO";"adj95est",#N/A,FALSE,"COMPCO"}</definedName>
    <definedName name="agag" localSheetId="0" hidden="1">{"adj95mult",#N/A,FALSE,"COMPCO";"adj95est",#N/A,FALSE,"COMPCO"}</definedName>
    <definedName name="agag" hidden="1">{"adj95mult",#N/A,FALSE,"COMPCO";"adj95est",#N/A,FALSE,"COMPCO"}</definedName>
    <definedName name="aghow.xls" localSheetId="1" hidden="1">{"'Sheet1'!$L$16"}</definedName>
    <definedName name="aghow.xls" localSheetId="0" hidden="1">{"'Sheet1'!$L$16"}</definedName>
    <definedName name="aghow.xls" hidden="1">{"'Sheet1'!$L$16"}</definedName>
    <definedName name="ana" localSheetId="1" hidden="1">{#N/A,#N/A,TRUE,"rate";#N/A,#N/A,TRUE,"E1005CH";#N/A,#N/A,TRUE,"E2800CH";#N/A,#N/A,TRUE,"E8118CH";#N/A,#N/A,TRUE,"E8157CH";#N/A,#N/A,TRUE,"E8213CH";#N/A,#N/A,TRUE,"pursue"}</definedName>
    <definedName name="ana" localSheetId="0" hidden="1">{#N/A,#N/A,TRUE,"rate";#N/A,#N/A,TRUE,"E1005CH";#N/A,#N/A,TRUE,"E2800CH";#N/A,#N/A,TRUE,"E8118CH";#N/A,#N/A,TRUE,"E8157CH";#N/A,#N/A,TRUE,"E8213CH";#N/A,#N/A,TRUE,"pursue"}</definedName>
    <definedName name="ana" hidden="1">{#N/A,#N/A,TRUE,"rate";#N/A,#N/A,TRUE,"E1005CH";#N/A,#N/A,TRUE,"E2800CH";#N/A,#N/A,TRUE,"E8118CH";#N/A,#N/A,TRUE,"E8157CH";#N/A,#N/A,TRUE,"E8213CH";#N/A,#N/A,TRUE,"pursue"}</definedName>
    <definedName name="anscount" hidden="1">3</definedName>
    <definedName name="Antoan" localSheetId="1" hidden="1">{"'Sheet1'!$L$16"}</definedName>
    <definedName name="Antoan" localSheetId="0" hidden="1">{"'Sheet1'!$L$16"}</definedName>
    <definedName name="Antoan" hidden="1">{"'Sheet1'!$L$16"}</definedName>
    <definedName name="as" localSheetId="3" hidden="1">#REF!</definedName>
    <definedName name="as" localSheetId="4" hidden="1">#REF!</definedName>
    <definedName name="as" localSheetId="0" hidden="1">#REF!</definedName>
    <definedName name="as" hidden="1">#REF!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TickmarkLS" localSheetId="3" hidden="1">#REF!</definedName>
    <definedName name="AS2TickmarkLS" localSheetId="4" hidden="1">#REF!</definedName>
    <definedName name="AS2TickmarkLS" localSheetId="0" hidden="1">#REF!</definedName>
    <definedName name="AS2TickmarkLS" hidden="1">#REF!</definedName>
    <definedName name="AS2VersionLS" hidden="1">300</definedName>
    <definedName name="asf" localSheetId="1" hidden="1">{"'Sheet1'!$L$16"}</definedName>
    <definedName name="asf" localSheetId="0" hidden="1">{"'Sheet1'!$L$16"}</definedName>
    <definedName name="asf" hidden="1">{"'Sheet1'!$L$16"}</definedName>
    <definedName name="asss" localSheetId="1" hidden="1">{"'Sheet1'!$L$16"}</definedName>
    <definedName name="asss" localSheetId="0" hidden="1">{"'Sheet1'!$L$16"}</definedName>
    <definedName name="asss" hidden="1">{"'Sheet1'!$L$16"}</definedName>
    <definedName name="asssss" localSheetId="1" hidden="1">{"'Sheet1'!$L$16"}</definedName>
    <definedName name="asssss" localSheetId="0" hidden="1">{"'Sheet1'!$L$16"}</definedName>
    <definedName name="asssss" hidden="1">{"'Sheet1'!$L$16"}</definedName>
    <definedName name="auty.xls" localSheetId="1" hidden="1">{"'Sheet1'!$L$16"}</definedName>
    <definedName name="auty.xls" localSheetId="0" hidden="1">{"'Sheet1'!$L$16"}</definedName>
    <definedName name="auty.xls" hidden="1">{"'Sheet1'!$L$16"}</definedName>
    <definedName name="avcccsa" localSheetId="3" hidden="1">#REF!</definedName>
    <definedName name="avcccsa" localSheetId="4" hidden="1">#REF!</definedName>
    <definedName name="avcccsa" hidden="1">#REF!</definedName>
    <definedName name="avnbnb.xls" localSheetId="1" hidden="1">{"'Sheet1'!$L$16"}</definedName>
    <definedName name="avnbnb.xls" localSheetId="0" hidden="1">{"'Sheet1'!$L$16"}</definedName>
    <definedName name="avnbnb.xls" hidden="1">{"'Sheet1'!$L$16"}</definedName>
    <definedName name="awww" localSheetId="1" hidden="1">{#N/A,#N/A,FALSE,"F.E-register";#N/A,#N/A,FALSE,"MV-register";#N/A,#N/A,FALSE,"Off.Eq-Resister";#N/A,#N/A,FALSE,"Off.F&amp;F.resister";#N/A,#N/A,FALSE,"CPT-resister";#N/A,#N/A,FALSE,"H Equip-resister"}</definedName>
    <definedName name="awww" localSheetId="0" hidden="1">{#N/A,#N/A,FALSE,"F.E-register";#N/A,#N/A,FALSE,"MV-register";#N/A,#N/A,FALSE,"Off.Eq-Resister";#N/A,#N/A,FALSE,"Off.F&amp;F.resister";#N/A,#N/A,FALSE,"CPT-resister";#N/A,#N/A,FALSE,"H Equip-resister"}</definedName>
    <definedName name="awww" hidden="1">{#N/A,#N/A,FALSE,"F.E-register";#N/A,#N/A,FALSE,"MV-register";#N/A,#N/A,FALSE,"Off.Eq-Resister";#N/A,#N/A,FALSE,"Off.F&amp;F.resister";#N/A,#N/A,FALSE,"CPT-resister";#N/A,#N/A,FALSE,"H Equip-resister"}</definedName>
    <definedName name="ăfq" localSheetId="3" hidden="1">#REF!</definedName>
    <definedName name="ăfq" localSheetId="4" hidden="1">#REF!</definedName>
    <definedName name="ăfq" hidden="1">#REF!</definedName>
    <definedName name="ăqfaf" localSheetId="3" hidden="1">#REF!</definedName>
    <definedName name="ăqfaf" localSheetId="4" hidden="1">#REF!</definedName>
    <definedName name="ăqfaf" hidden="1">#REF!</definedName>
    <definedName name="ấcvb" localSheetId="3" hidden="1">#REF!</definedName>
    <definedName name="ấcvb" localSheetId="4" hidden="1">#REF!</definedName>
    <definedName name="ấcvb" localSheetId="0" hidden="1">#REF!</definedName>
    <definedName name="ấcvb" hidden="1">#REF!</definedName>
    <definedName name="banQL" localSheetId="1" hidden="1">{"'Sheet1'!$L$16"}</definedName>
    <definedName name="banQL" localSheetId="0" hidden="1">{"'Sheet1'!$L$16"}</definedName>
    <definedName name="banQL" hidden="1">{"'Sheet1'!$L$16"}</definedName>
    <definedName name="bbbbbbbh" localSheetId="1" hidden="1">{#N/A,#N/A,TRUE,"BT M200 da 10x20"}</definedName>
    <definedName name="bbbbbbbh" localSheetId="0" hidden="1">{#N/A,#N/A,TRUE,"BT M200 da 10x20"}</definedName>
    <definedName name="bbbbbbbh" hidden="1">{#N/A,#N/A,TRUE,"BT M200 da 10x20"}</definedName>
    <definedName name="BBBG" localSheetId="1" hidden="1">{"'Sheet1'!$L$16"}</definedName>
    <definedName name="BBBG" localSheetId="0" hidden="1">{"'Sheet1'!$L$16"}</definedName>
    <definedName name="BBBG" hidden="1">{"'Sheet1'!$L$16"}</definedName>
    <definedName name="bdv" localSheetId="1" hidden="1">{"'Sheet1'!$L$16"}</definedName>
    <definedName name="bdv" localSheetId="0" hidden="1">{"'Sheet1'!$L$16"}</definedName>
    <definedName name="bdv" hidden="1">{"'Sheet1'!$L$16"}</definedName>
    <definedName name="bg" localSheetId="1" hidden="1">{"'Sheet1'!$L$16"}</definedName>
    <definedName name="bg" localSheetId="0" hidden="1">{"'Sheet1'!$L$16"}</definedName>
    <definedName name="bg" hidden="1">{"'Sheet1'!$L$16"}</definedName>
    <definedName name="BG_Del" hidden="1">15</definedName>
    <definedName name="BG_Ins" hidden="1">4</definedName>
    <definedName name="BG_Mod" hidden="1">6</definedName>
    <definedName name="binh" localSheetId="1" hidden="1">{"'Sheet1'!$L$16"}</definedName>
    <definedName name="binh" localSheetId="0" hidden="1">{"'Sheet1'!$L$16"}</definedName>
    <definedName name="binh" hidden="1">{"'Sheet1'!$L$16"}</definedName>
    <definedName name="bnnvbm" localSheetId="3" hidden="1">#REF!</definedName>
    <definedName name="bnnvbm" localSheetId="4" hidden="1">#REF!</definedName>
    <definedName name="bnnvbm" localSheetId="0" hidden="1">#REF!</definedName>
    <definedName name="bnnvbm" hidden="1">#REF!</definedName>
    <definedName name="bvbcv" localSheetId="3" hidden="1">#REF!</definedName>
    <definedName name="bvbcv" localSheetId="4" hidden="1">#REF!</definedName>
    <definedName name="bvbcv" localSheetId="0" hidden="1">#REF!</definedName>
    <definedName name="bvbcv" hidden="1">#REF!</definedName>
    <definedName name="Calculation_Exparts" localSheetId="1" hidden="1">{"'Sheet1'!$L$16"}</definedName>
    <definedName name="Calculation_Exparts" localSheetId="0" hidden="1">{"'Sheet1'!$L$16"}</definedName>
    <definedName name="Calculation_Exparts" hidden="1">{"'Sheet1'!$L$16"}</definedName>
    <definedName name="cfgg" localSheetId="1" hidden="1">{"'Sheet1'!$L$16"}</definedName>
    <definedName name="cfgg" localSheetId="0" hidden="1">{"'Sheet1'!$L$16"}</definedName>
    <definedName name="cfgg" hidden="1">{"'Sheet1'!$L$16"}</definedName>
    <definedName name="Code" localSheetId="3" hidden="1">#REF!</definedName>
    <definedName name="Code" localSheetId="4" hidden="1">#REF!</definedName>
    <definedName name="Code" localSheetId="0" hidden="1">#REF!</definedName>
    <definedName name="Code" hidden="1">#REF!</definedName>
    <definedName name="CT" localSheetId="1" hidden="1">{#N/A,#N/A,TRUE,"BT M200 da 10x20"}</definedName>
    <definedName name="CT" localSheetId="0" hidden="1">{#N/A,#N/A,TRUE,"BT M200 da 10x20"}</definedName>
    <definedName name="CT" hidden="1">{#N/A,#N/A,TRUE,"BT M200 da 10x20"}</definedName>
    <definedName name="CTCT1" localSheetId="1" hidden="1">{"'Sheet1'!$L$16"}</definedName>
    <definedName name="CTCT1" localSheetId="0" hidden="1">{"'Sheet1'!$L$16"}</definedName>
    <definedName name="CTCT1" hidden="1">{"'Sheet1'!$L$16"}</definedName>
    <definedName name="cung" localSheetId="1" hidden="1">{"'Sheet1'!$L$16"}</definedName>
    <definedName name="cung" localSheetId="0" hidden="1">{"'Sheet1'!$L$16"}</definedName>
    <definedName name="cung" hidden="1">{"'Sheet1'!$L$16"}</definedName>
    <definedName name="Chi" localSheetId="1" hidden="1">{"'Sheet1'!$L$16"}</definedName>
    <definedName name="Chi" localSheetId="0" hidden="1">{"'Sheet1'!$L$16"}</definedName>
    <definedName name="Chi" hidden="1">{"'Sheet1'!$L$16"}</definedName>
    <definedName name="chietchai2" localSheetId="1" hidden="1">{"'Sheet1'!$L$16"}</definedName>
    <definedName name="chietchai2" localSheetId="0" hidden="1">{"'Sheet1'!$L$16"}</definedName>
    <definedName name="chietchai2" hidden="1">{"'Sheet1'!$L$16"}</definedName>
    <definedName name="chilk" localSheetId="1" hidden="1">{"'Sheet1'!$L$16"}</definedName>
    <definedName name="chilk" localSheetId="0" hidden="1">{"'Sheet1'!$L$16"}</definedName>
    <definedName name="chilk" hidden="1">{"'Sheet1'!$L$16"}</definedName>
    <definedName name="chitietTT" localSheetId="1" hidden="1">{"'Sheet1'!$L$16"}</definedName>
    <definedName name="chitietTT" localSheetId="0" hidden="1">{"'Sheet1'!$L$16"}</definedName>
    <definedName name="chitietTT" hidden="1">{"'Sheet1'!$L$16"}</definedName>
    <definedName name="chuyen" localSheetId="1" hidden="1">{"'Sheet1'!$L$16"}</definedName>
    <definedName name="chuyen" localSheetId="0" hidden="1">{"'Sheet1'!$L$16"}</definedName>
    <definedName name="chuyen" hidden="1">{"'Sheet1'!$L$16"}</definedName>
    <definedName name="dafsdfasdf" localSheetId="1" hidden="1">{#N/A,#N/A,TRUE,"rate";#N/A,#N/A,TRUE,"E1005CH";#N/A,#N/A,TRUE,"E2800CH";#N/A,#N/A,TRUE,"E8118CH";#N/A,#N/A,TRUE,"E8157CH";#N/A,#N/A,TRUE,"E8213CH";#N/A,#N/A,TRUE,"pursue"}</definedName>
    <definedName name="dafsdfasdf" localSheetId="0" hidden="1">{#N/A,#N/A,TRUE,"rate";#N/A,#N/A,TRUE,"E1005CH";#N/A,#N/A,TRUE,"E2800CH";#N/A,#N/A,TRUE,"E8118CH";#N/A,#N/A,TRUE,"E8157CH";#N/A,#N/A,TRUE,"E8213CH";#N/A,#N/A,TRUE,"pursue"}</definedName>
    <definedName name="dafsdfasdf" hidden="1">{#N/A,#N/A,TRUE,"rate";#N/A,#N/A,TRUE,"E1005CH";#N/A,#N/A,TRUE,"E2800CH";#N/A,#N/A,TRUE,"E8118CH";#N/A,#N/A,TRUE,"E8157CH";#N/A,#N/A,TRUE,"E8213CH";#N/A,#N/A,TRUE,"pursue"}</definedName>
    <definedName name="dang" localSheetId="1" hidden="1">{"'Sheet1'!$L$16"}</definedName>
    <definedName name="dang" localSheetId="0" hidden="1">{"'Sheet1'!$L$16"}</definedName>
    <definedName name="dang" hidden="1">{"'Sheet1'!$L$16"}</definedName>
    <definedName name="data1" localSheetId="3" hidden="1">#REF!</definedName>
    <definedName name="data1" localSheetId="4" hidden="1">#REF!</definedName>
    <definedName name="data1" localSheetId="0" hidden="1">#REF!</definedName>
    <definedName name="data1" hidden="1">#REF!</definedName>
    <definedName name="data2" localSheetId="3" hidden="1">#REF!</definedName>
    <definedName name="data2" localSheetId="4" hidden="1">#REF!</definedName>
    <definedName name="data2" localSheetId="0" hidden="1">#REF!</definedName>
    <definedName name="data2" hidden="1">#REF!</definedName>
    <definedName name="data3" localSheetId="3" hidden="1">#REF!</definedName>
    <definedName name="data3" localSheetId="4" hidden="1">#REF!</definedName>
    <definedName name="data3" localSheetId="0" hidden="1">#REF!</definedName>
    <definedName name="data3" hidden="1">#REF!</definedName>
    <definedName name="Dautu" localSheetId="1" hidden="1">{"'Sheet1'!$L$16"}</definedName>
    <definedName name="Dautu" localSheetId="0" hidden="1">{"'Sheet1'!$L$16"}</definedName>
    <definedName name="Dautu" hidden="1">{"'Sheet1'!$L$16"}</definedName>
    <definedName name="ddd" localSheetId="1" hidden="1">{"'Sheet1'!$L$16"}</definedName>
    <definedName name="ddd" localSheetId="0" hidden="1">{"'Sheet1'!$L$16"}</definedName>
    <definedName name="ddd" hidden="1">{"'Sheet1'!$L$16"}</definedName>
    <definedName name="ddddddd" localSheetId="3" hidden="1">#REF!</definedName>
    <definedName name="ddddddd" localSheetId="4" hidden="1">#REF!</definedName>
    <definedName name="ddddddd" localSheetId="0" hidden="1">#REF!</definedName>
    <definedName name="ddddddd" hidden="1">#REF!</definedName>
    <definedName name="ddđ" localSheetId="3" hidden="1">#REF!</definedName>
    <definedName name="ddđ" localSheetId="4" hidden="1">#REF!</definedName>
    <definedName name="ddđ" hidden="1">#REF!</definedName>
    <definedName name="dfdfasd" localSheetId="1" hidden="1">{#N/A,#N/A,TRUE,"rate";#N/A,#N/A,TRUE,"E1005CH";#N/A,#N/A,TRUE,"E2800CH";#N/A,#N/A,TRUE,"E8118CH";#N/A,#N/A,TRUE,"E8157CH";#N/A,#N/A,TRUE,"E8213CH";#N/A,#N/A,TRUE,"pursue"}</definedName>
    <definedName name="dfdfasd" localSheetId="0" hidden="1">{#N/A,#N/A,TRUE,"rate";#N/A,#N/A,TRUE,"E1005CH";#N/A,#N/A,TRUE,"E2800CH";#N/A,#N/A,TRUE,"E8118CH";#N/A,#N/A,TRUE,"E8157CH";#N/A,#N/A,TRUE,"E8213CH";#N/A,#N/A,TRUE,"pursue"}</definedName>
    <definedName name="dfdfasd" hidden="1">{#N/A,#N/A,TRUE,"rate";#N/A,#N/A,TRUE,"E1005CH";#N/A,#N/A,TRUE,"E2800CH";#N/A,#N/A,TRUE,"E8118CH";#N/A,#N/A,TRUE,"E8157CH";#N/A,#N/A,TRUE,"E8213CH";#N/A,#N/A,TRUE,"pursue"}</definedName>
    <definedName name="dfdgg.xls" localSheetId="1" hidden="1">{"'Sheet1'!$L$16"}</definedName>
    <definedName name="dfdgg.xls" localSheetId="0" hidden="1">{"'Sheet1'!$L$16"}</definedName>
    <definedName name="dfdgg.xls" hidden="1">{"'Sheet1'!$L$16"}</definedName>
    <definedName name="dfdljfdsl.xls" localSheetId="1" hidden="1">{"'Sheet1'!$L$16"}</definedName>
    <definedName name="dfdljfdsl.xls" localSheetId="0" hidden="1">{"'Sheet1'!$L$16"}</definedName>
    <definedName name="dfdljfdsl.xls" hidden="1">{"'Sheet1'!$L$16"}</definedName>
    <definedName name="dferh" localSheetId="3" hidden="1">#REF!</definedName>
    <definedName name="dferh" localSheetId="4" hidden="1">#REF!</definedName>
    <definedName name="dferh" hidden="1">#REF!</definedName>
    <definedName name="dfh" localSheetId="1" hidden="1">{"'Sheet1'!$L$16"}</definedName>
    <definedName name="dfh" localSheetId="0" hidden="1">{"'Sheet1'!$L$16"}</definedName>
    <definedName name="dfh" hidden="1">{"'Sheet1'!$L$16"}</definedName>
    <definedName name="dfhdslkfjdl.xls" localSheetId="1" hidden="1">{"'Sheet1'!$L$16"}</definedName>
    <definedName name="dfhdslkfjdl.xls" localSheetId="0" hidden="1">{"'Sheet1'!$L$16"}</definedName>
    <definedName name="dfhdslkfjdl.xls" hidden="1">{"'Sheet1'!$L$16"}</definedName>
    <definedName name="dfjslf.xls" localSheetId="1" hidden="1">{"'Sheet1'!$L$16"}</definedName>
    <definedName name="dfjslf.xls" localSheetId="0" hidden="1">{"'Sheet1'!$L$16"}</definedName>
    <definedName name="dfjslf.xls" hidden="1">{"'Sheet1'!$L$16"}</definedName>
    <definedName name="dfsfsd" localSheetId="1" hidden="1">{"'Sheet1'!$L$16"}</definedName>
    <definedName name="dfsfsd" localSheetId="0" hidden="1">{"'Sheet1'!$L$16"}</definedName>
    <definedName name="dfsfsd" hidden="1">{"'Sheet1'!$L$16"}</definedName>
    <definedName name="Dia_Chi_Congty_V" hidden="1">[4]Thong_tin!$D$11</definedName>
    <definedName name="dien" localSheetId="1" hidden="1">{"'Sheet1'!$L$16"}</definedName>
    <definedName name="dien" localSheetId="0" hidden="1">{"'Sheet1'!$L$16"}</definedName>
    <definedName name="dien" hidden="1">{"'Sheet1'!$L$16"}</definedName>
    <definedName name="diesn" localSheetId="1" hidden="1">{#N/A,#N/A,TRUE,"rate";#N/A,#N/A,TRUE,"E1005CH";#N/A,#N/A,TRUE,"E2800CH";#N/A,#N/A,TRUE,"E8118CH";#N/A,#N/A,TRUE,"E8157CH";#N/A,#N/A,TRUE,"E8213CH";#N/A,#N/A,TRUE,"pursue"}</definedName>
    <definedName name="diesn" localSheetId="0" hidden="1">{#N/A,#N/A,TRUE,"rate";#N/A,#N/A,TRUE,"E1005CH";#N/A,#N/A,TRUE,"E2800CH";#N/A,#N/A,TRUE,"E8118CH";#N/A,#N/A,TRUE,"E8157CH";#N/A,#N/A,TRUE,"E8213CH";#N/A,#N/A,TRUE,"pursue"}</definedName>
    <definedName name="diesn" hidden="1">{#N/A,#N/A,TRUE,"rate";#N/A,#N/A,TRUE,"E1005CH";#N/A,#N/A,TRUE,"E2800CH";#N/A,#N/A,TRUE,"E8118CH";#N/A,#N/A,TRUE,"E8157CH";#N/A,#N/A,TRUE,"E8213CH";#N/A,#N/A,TRUE,"pursue"}</definedName>
    <definedName name="Discount" localSheetId="3" hidden="1">#REF!</definedName>
    <definedName name="Discount" localSheetId="4" hidden="1">#REF!</definedName>
    <definedName name="Discount" localSheetId="0" hidden="1">#REF!</definedName>
    <definedName name="Discount" hidden="1">#REF!</definedName>
    <definedName name="display_area_2" localSheetId="3" hidden="1">#REF!</definedName>
    <definedName name="display_area_2" localSheetId="4" hidden="1">#REF!</definedName>
    <definedName name="display_area_2" localSheetId="0" hidden="1">#REF!</definedName>
    <definedName name="display_area_2" hidden="1">#REF!</definedName>
    <definedName name="DM_DonVi" hidden="1">[4]Tong_hop!$F$7:$O$7</definedName>
    <definedName name="DM_KyHieu" hidden="1">[5]DM!$F$3:$F$6</definedName>
    <definedName name="DM_LoaiButToan" hidden="1">[4]DM!$M$3:$M$4</definedName>
    <definedName name="DM_MaTK" hidden="1">OFFSET([5]DM!$D$2,1,0,IF(COUNTA([5]DM!$D$3:$D$1000)=0,1,COUNTA([5]DM!$D$3:$D$1000)),1)</definedName>
    <definedName name="DM_YKien" hidden="1">[4]DM!$B$3:$B$4</definedName>
    <definedName name="dmxl2" localSheetId="1" hidden="1">{"'Sheet1'!$L$16"}</definedName>
    <definedName name="dmxl2" localSheetId="0" hidden="1">{"'Sheet1'!$L$16"}</definedName>
    <definedName name="dmxl2" hidden="1">{"'Sheet1'!$L$16"}</definedName>
    <definedName name="Don_Vi_Tinh_V" hidden="1">[6]Thong_tin!$D$20</definedName>
    <definedName name="dsad" localSheetId="3" hidden="1">#REF!</definedName>
    <definedName name="dsad" localSheetId="4" hidden="1">#REF!</definedName>
    <definedName name="dsad" localSheetId="0" hidden="1">#REF!</definedName>
    <definedName name="dsad" hidden="1">#REF!</definedName>
    <definedName name="dsc" localSheetId="1" hidden="1">{#N/A,#N/A,TRUE,"BT M200 da 10x20"}</definedName>
    <definedName name="dsc" localSheetId="0" hidden="1">{#N/A,#N/A,TRUE,"BT M200 da 10x20"}</definedName>
    <definedName name="dsc" hidden="1">{#N/A,#N/A,TRUE,"BT M200 da 10x20"}</definedName>
    <definedName name="dsd" localSheetId="1" hidden="1">{#N/A,#N/A,TRUE,"rate";#N/A,#N/A,TRUE,"E1005CH";#N/A,#N/A,TRUE,"E2800CH";#N/A,#N/A,TRUE,"E8118CH";#N/A,#N/A,TRUE,"E8157CH";#N/A,#N/A,TRUE,"E8213CH";#N/A,#N/A,TRUE,"pursue"}</definedName>
    <definedName name="dsd" localSheetId="0" hidden="1">{#N/A,#N/A,TRUE,"rate";#N/A,#N/A,TRUE,"E1005CH";#N/A,#N/A,TRUE,"E2800CH";#N/A,#N/A,TRUE,"E8118CH";#N/A,#N/A,TRUE,"E8157CH";#N/A,#N/A,TRUE,"E8213CH";#N/A,#N/A,TRUE,"pursue"}</definedName>
    <definedName name="dsd" hidden="1">{#N/A,#N/A,TRUE,"rate";#N/A,#N/A,TRUE,"E1005CH";#N/A,#N/A,TRUE,"E2800CH";#N/A,#N/A,TRUE,"E8118CH";#N/A,#N/A,TRUE,"E8157CH";#N/A,#N/A,TRUE,"E8213CH";#N/A,#N/A,TRUE,"pursue"}</definedName>
    <definedName name="DSDL" localSheetId="1" hidden="1">{"'Sheet1'!$L$16"}</definedName>
    <definedName name="DSDL" localSheetId="0" hidden="1">{"'Sheet1'!$L$16"}</definedName>
    <definedName name="DSDL" hidden="1">{"'Sheet1'!$L$16"}</definedName>
    <definedName name="duc" localSheetId="1" hidden="1">{"'Sheet1'!$L$16"}</definedName>
    <definedName name="duc" localSheetId="0" hidden="1">{"'Sheet1'!$L$16"}</definedName>
    <definedName name="duc" hidden="1">{"'Sheet1'!$L$16"}</definedName>
    <definedName name="DWPRICE" localSheetId="3" hidden="1">[7]Quantity!#REF!</definedName>
    <definedName name="DWPRICE" localSheetId="4" hidden="1">[7]Quantity!#REF!</definedName>
    <definedName name="DWPRICE" localSheetId="0" hidden="1">[7]Quantity!#REF!</definedName>
    <definedName name="DWPRICE" hidden="1">[7]Quantity!#REF!</definedName>
    <definedName name="èag" localSheetId="3" hidden="1">#REF!</definedName>
    <definedName name="èag" localSheetId="4" hidden="1">#REF!</definedName>
    <definedName name="èag" localSheetId="0" hidden="1">#REF!</definedName>
    <definedName name="èag" hidden="1">#REF!</definedName>
    <definedName name="eee" localSheetId="1" hidden="1">{"Graphic",#N/A,TRUE,"Graphic"}</definedName>
    <definedName name="eee" localSheetId="0" hidden="1">{"Graphic",#N/A,TRUE,"Graphic"}</definedName>
    <definedName name="eee" hidden="1">{"Graphic",#N/A,TRUE,"Graphic"}</definedName>
    <definedName name="eeeee" localSheetId="3" hidden="1">#REF!</definedName>
    <definedName name="eeeee" localSheetId="4" hidden="1">#REF!</definedName>
    <definedName name="eeeee" hidden="1">#REF!</definedName>
    <definedName name="eeeeeeeet" localSheetId="1" hidden="1">{"'Sheet1'!$L$16"}</definedName>
    <definedName name="eeeeeeeet" localSheetId="0" hidden="1">{"'Sheet1'!$L$16"}</definedName>
    <definedName name="eeeeeeeet" hidden="1">{"'Sheet1'!$L$16"}</definedName>
    <definedName name="est" localSheetId="1" hidden="1">{"EVA",#N/A,FALSE,"EVA";"WACC",#N/A,FALSE,"WACC"}</definedName>
    <definedName name="est" localSheetId="0" hidden="1">{"EVA",#N/A,FALSE,"EVA";"WACC",#N/A,FALSE,"WACC"}</definedName>
    <definedName name="est" hidden="1">{"EVA",#N/A,FALSE,"EVA";"WACC",#N/A,FALSE,"WACC"}</definedName>
    <definedName name="etgwr" localSheetId="3" hidden="1">#REF!</definedName>
    <definedName name="etgwr" localSheetId="4" hidden="1">#REF!</definedName>
    <definedName name="etgwr" hidden="1">#REF!</definedName>
    <definedName name="etyety" localSheetId="3" hidden="1">#REF!</definedName>
    <definedName name="etyety" localSheetId="4" hidden="1">#REF!</definedName>
    <definedName name="etyety" localSheetId="0" hidden="1">#REF!</definedName>
    <definedName name="etyety" hidden="1">#REF!</definedName>
    <definedName name="etytw" localSheetId="3" hidden="1">#REF!</definedName>
    <definedName name="etytw" localSheetId="4" hidden="1">#REF!</definedName>
    <definedName name="etytw" localSheetId="0" hidden="1">#REF!</definedName>
    <definedName name="etytw" hidden="1">#REF!</definedName>
    <definedName name="EvaCOI" localSheetId="1" hidden="1">{#N/A,#N/A,TRUE,"rate";#N/A,#N/A,TRUE,"E1005CH";#N/A,#N/A,TRUE,"E2800CH";#N/A,#N/A,TRUE,"E8118CH";#N/A,#N/A,TRUE,"E8157CH";#N/A,#N/A,TRUE,"E8213CH";#N/A,#N/A,TRUE,"pursue"}</definedName>
    <definedName name="EvaCOI" localSheetId="0" hidden="1">{#N/A,#N/A,TRUE,"rate";#N/A,#N/A,TRUE,"E1005CH";#N/A,#N/A,TRUE,"E2800CH";#N/A,#N/A,TRUE,"E8118CH";#N/A,#N/A,TRUE,"E8157CH";#N/A,#N/A,TRUE,"E8213CH";#N/A,#N/A,TRUE,"pursue"}</definedName>
    <definedName name="EvaCOI" hidden="1">{#N/A,#N/A,TRUE,"rate";#N/A,#N/A,TRUE,"E1005CH";#N/A,#N/A,TRUE,"E2800CH";#N/A,#N/A,TRUE,"E8118CH";#N/A,#N/A,TRUE,"E8157CH";#N/A,#N/A,TRUE,"E8213CH";#N/A,#N/A,TRUE,"pursue"}</definedName>
    <definedName name="ewret" localSheetId="3" hidden="1">#REF!</definedName>
    <definedName name="ewret" localSheetId="4" hidden="1">#REF!</definedName>
    <definedName name="ewret" hidden="1">#REF!</definedName>
    <definedName name="ExactAddinConnection" hidden="1">"002"</definedName>
    <definedName name="ExactAddinConnection.002" hidden="1">"NEVN;002;ACS1;1"</definedName>
    <definedName name="ExactAddinConnection.034" hidden="1">"NOIVU;034;gl4;1"</definedName>
    <definedName name="ExactAddinReports" hidden="1">1</definedName>
    <definedName name="exp" localSheetId="1" hidden="1">{#N/A,#N/A,TRUE,"rate";#N/A,#N/A,TRUE,"E1005CH";#N/A,#N/A,TRUE,"E2800CH";#N/A,#N/A,TRUE,"E8118CH";#N/A,#N/A,TRUE,"E8157CH";#N/A,#N/A,TRUE,"E8213CH";#N/A,#N/A,TRUE,"pursue"}</definedName>
    <definedName name="exp" localSheetId="0" hidden="1">{#N/A,#N/A,TRUE,"rate";#N/A,#N/A,TRUE,"E1005CH";#N/A,#N/A,TRUE,"E2800CH";#N/A,#N/A,TRUE,"E8118CH";#N/A,#N/A,TRUE,"E8157CH";#N/A,#N/A,TRUE,"E8213CH";#N/A,#N/A,TRUE,"pursue"}</definedName>
    <definedName name="exp" hidden="1">{#N/A,#N/A,TRUE,"rate";#N/A,#N/A,TRUE,"E1005CH";#N/A,#N/A,TRUE,"E2800CH";#N/A,#N/A,TRUE,"E8118CH";#N/A,#N/A,TRUE,"E8157CH";#N/A,#N/A,TRUE,"E8213CH";#N/A,#N/A,TRUE,"pursue"}</definedName>
    <definedName name="eyty" localSheetId="3" hidden="1">#REF!</definedName>
    <definedName name="eyty" localSheetId="4" hidden="1">#REF!</definedName>
    <definedName name="eyty" localSheetId="0" hidden="1">#REF!</definedName>
    <definedName name="eyty" hidden="1">#REF!</definedName>
    <definedName name="F6A" localSheetId="1" hidden="1">{"'Sheet1'!$L$16"}</definedName>
    <definedName name="F6A" localSheetId="0" hidden="1">{"'Sheet1'!$L$16"}</definedName>
    <definedName name="F6A" hidden="1">{"'Sheet1'!$L$16"}</definedName>
    <definedName name="F6B" localSheetId="1" hidden="1">{"'Sheet1'!$L$16"}</definedName>
    <definedName name="F6B" localSheetId="0" hidden="1">{"'Sheet1'!$L$16"}</definedName>
    <definedName name="F6B" hidden="1">{"'Sheet1'!$L$16"}</definedName>
    <definedName name="fáaafafaf" localSheetId="1" hidden="1">{"'Sheet1'!$L$16"}</definedName>
    <definedName name="fáaafafaf" localSheetId="0" hidden="1">{"'Sheet1'!$L$16"}</definedName>
    <definedName name="fáaafafaf" hidden="1">{"'Sheet1'!$L$16"}</definedName>
    <definedName name="fafs" localSheetId="3" hidden="1">#REF!</definedName>
    <definedName name="fafs" localSheetId="4" hidden="1">#REF!</definedName>
    <definedName name="fafs" localSheetId="0" hidden="1">#REF!</definedName>
    <definedName name="fafs" hidden="1">#REF!</definedName>
    <definedName name="fagdsg" localSheetId="3" hidden="1">#REF!</definedName>
    <definedName name="fagdsg" localSheetId="4" hidden="1">#REF!</definedName>
    <definedName name="fagdsg" localSheetId="0" hidden="1">#REF!</definedName>
    <definedName name="fagdsg" hidden="1">#REF!</definedName>
    <definedName name="fasdfefsdf" localSheetId="1" hidden="1">{#N/A,#N/A,TRUE,"rate";#N/A,#N/A,TRUE,"E1005CH";#N/A,#N/A,TRUE,"E2800CH";#N/A,#N/A,TRUE,"E8118CH";#N/A,#N/A,TRUE,"E8157CH";#N/A,#N/A,TRUE,"E8213CH";#N/A,#N/A,TRUE,"pursue"}</definedName>
    <definedName name="fasdfefsdf" localSheetId="0" hidden="1">{#N/A,#N/A,TRUE,"rate";#N/A,#N/A,TRUE,"E1005CH";#N/A,#N/A,TRUE,"E2800CH";#N/A,#N/A,TRUE,"E8118CH";#N/A,#N/A,TRUE,"E8157CH";#N/A,#N/A,TRUE,"E8213CH";#N/A,#N/A,TRUE,"pursue"}</definedName>
    <definedName name="fasdfefsdf" hidden="1">{#N/A,#N/A,TRUE,"rate";#N/A,#N/A,TRUE,"E1005CH";#N/A,#N/A,TRUE,"E2800CH";#N/A,#N/A,TRUE,"E8118CH";#N/A,#N/A,TRUE,"E8157CH";#N/A,#N/A,TRUE,"E8213CH";#N/A,#N/A,TRUE,"pursue"}</definedName>
    <definedName name="fasfaga" localSheetId="1" hidden="1">{"'Sheet1'!$L$16"}</definedName>
    <definedName name="fasfaga" localSheetId="0" hidden="1">{"'Sheet1'!$L$16"}</definedName>
    <definedName name="fasfaga" hidden="1">{"'Sheet1'!$L$16"}</definedName>
    <definedName name="FCode" localSheetId="3" hidden="1">#REF!</definedName>
    <definedName name="FCode" localSheetId="4" hidden="1">#REF!</definedName>
    <definedName name="FCode" localSheetId="0" hidden="1">#REF!</definedName>
    <definedName name="FCode" hidden="1">#REF!</definedName>
    <definedName name="fdg" localSheetId="1" hidden="1">{"'Sheet1'!$L$16"}</definedName>
    <definedName name="fdg" localSheetId="0" hidden="1">{"'Sheet1'!$L$16"}</definedName>
    <definedName name="fdg" hidden="1">{"'Sheet1'!$L$16"}</definedName>
    <definedName name="fdgfg" localSheetId="1" hidden="1">{"'Sheet1'!$L$16"}</definedName>
    <definedName name="fdgfg" localSheetId="0" hidden="1">{"'Sheet1'!$L$16"}</definedName>
    <definedName name="fdgfg" hidden="1">{"'Sheet1'!$L$16"}</definedName>
    <definedName name="fdsfsdfd" localSheetId="1" hidden="1">{"'Sheet1'!$L$16"}</definedName>
    <definedName name="fdsfsdfd" localSheetId="0" hidden="1">{"'Sheet1'!$L$16"}</definedName>
    <definedName name="fdsfsdfd" hidden="1">{"'Sheet1'!$L$16"}</definedName>
    <definedName name="fdshlkfjdsl.xls" localSheetId="1" hidden="1">{"'Sheet1'!$L$16"}</definedName>
    <definedName name="fdshlkfjdsl.xls" localSheetId="0" hidden="1">{"'Sheet1'!$L$16"}</definedName>
    <definedName name="fdshlkfjdsl.xls" hidden="1">{"'Sheet1'!$L$16"}</definedName>
    <definedName name="fdskflj.xls" localSheetId="1" hidden="1">{"'Sheet1'!$L$16"}</definedName>
    <definedName name="fdskflj.xls" localSheetId="0" hidden="1">{"'Sheet1'!$L$16"}</definedName>
    <definedName name="fdskflj.xls" hidden="1">{"'Sheet1'!$L$16"}</definedName>
    <definedName name="ffefe" localSheetId="1" hidden="1">{"adj95mult",#N/A,FALSE,"COMPCO";"adj95est",#N/A,FALSE,"COMPCO"}</definedName>
    <definedName name="ffefe" localSheetId="0" hidden="1">{"adj95mult",#N/A,FALSE,"COMPCO";"adj95est",#N/A,FALSE,"COMPCO"}</definedName>
    <definedName name="ffefe" hidden="1">{"adj95mult",#N/A,FALSE,"COMPCO";"adj95est",#N/A,FALSE,"COMPCO"}</definedName>
    <definedName name="fffffff" localSheetId="3" hidden="1">#REF!</definedName>
    <definedName name="fffffff" localSheetId="4" hidden="1">#REF!</definedName>
    <definedName name="fffffff" localSheetId="0" hidden="1">#REF!</definedName>
    <definedName name="fffffff" hidden="1">#REF!</definedName>
    <definedName name="fffffffffffffff" localSheetId="1" hidden="1">{"'Sheet1'!$L$16"}</definedName>
    <definedName name="fffffffffffffff" localSheetId="0" hidden="1">{"'Sheet1'!$L$16"}</definedName>
    <definedName name="fffffffffffffff" hidden="1">{"'Sheet1'!$L$16"}</definedName>
    <definedName name="fffffg" localSheetId="1" hidden="1">{#N/A,#N/A,FALSE,"Chi tiÆt"}</definedName>
    <definedName name="fffffg" localSheetId="0" hidden="1">{#N/A,#N/A,FALSE,"Chi tiÆt"}</definedName>
    <definedName name="fffffg" hidden="1">{#N/A,#N/A,FALSE,"Chi tiÆt"}</definedName>
    <definedName name="fg" localSheetId="1" hidden="1">{"'Sheet1'!$L$16"}</definedName>
    <definedName name="fg" localSheetId="0" hidden="1">{"'Sheet1'!$L$16"}</definedName>
    <definedName name="fg" hidden="1">{"'Sheet1'!$L$16"}</definedName>
    <definedName name="fga" localSheetId="3" hidden="1">#REF!</definedName>
    <definedName name="fga" localSheetId="4" hidden="1">#REF!</definedName>
    <definedName name="fga" localSheetId="0" hidden="1">#REF!</definedName>
    <definedName name="fga" hidden="1">#REF!</definedName>
    <definedName name="fgdskfh.xls" localSheetId="1" hidden="1">{"'Sheet1'!$L$16"}</definedName>
    <definedName name="fgdskfh.xls" localSheetId="0" hidden="1">{"'Sheet1'!$L$16"}</definedName>
    <definedName name="fgdskfh.xls" hidden="1">{"'Sheet1'!$L$16"}</definedName>
    <definedName name="fgs" hidden="1">'[8]주주명부&lt;끝&gt;'!$A$5:$A$14</definedName>
    <definedName name="fgsga" localSheetId="3" hidden="1">#REF!</definedName>
    <definedName name="fgsga" localSheetId="4" hidden="1">#REF!</definedName>
    <definedName name="fgsga" localSheetId="0" hidden="1">#REF!</definedName>
    <definedName name="fgsga" hidden="1">#REF!</definedName>
    <definedName name="fml_CDKT_NN_DcCo" localSheetId="1" hidden="1">SUMIF(NN_CDCo,'[9]FS after adjusted'!$B1,NN_SoDieuChinh)</definedName>
    <definedName name="fml_CDKT_NN_DcCo" localSheetId="0" hidden="1">SUMIF([0]!NN_CDCo,'[9]FS after adjusted'!$B1,[0]!NN_SoDieuChinh)</definedName>
    <definedName name="fml_CDKT_NN_DcCo" hidden="1">SUMIF(NN_CDCo,'[9]FS after adjusted'!$B1,NN_SoDieuChinh)</definedName>
    <definedName name="fml_CDKT_NN_DcNo" localSheetId="1" hidden="1">SUMIF(NN_CDNo,'[9]FS after adjusted'!$B1,NN_SoDieuChinh)</definedName>
    <definedName name="fml_CDKT_NN_DcNo" localSheetId="0" hidden="1">SUMIF([0]!NN_CDNo,'[9]FS after adjusted'!$B1,[0]!NN_SoDieuChinh)</definedName>
    <definedName name="fml_CDKT_NN_DcNo" hidden="1">SUMIF(NN_CDNo,'[9]FS after adjusted'!$B1,NN_SoDieuChinh)</definedName>
    <definedName name="fml_CDKT_NT_DcCo" localSheetId="1" hidden="1">SUMIF(NT_CDCo,'[9]FS after adjusted'!$B1,NT_SoDieuChinh)</definedName>
    <definedName name="fml_CDKT_NT_DcCo" localSheetId="0" hidden="1">SUMIF([0]!NT_CDCo,'[9]FS after adjusted'!$B1,[0]!NT_SoDieuChinh)</definedName>
    <definedName name="fml_CDKT_NT_DcCo" hidden="1">SUMIF(NT_CDCo,'[9]FS after adjusted'!$B1,NT_SoDieuChinh)</definedName>
    <definedName name="fml_CDKT_NT_DcNo" localSheetId="1" hidden="1">SUMIF(NT_CDNo,'[9]FS after adjusted'!$B1,NT_SoDieuChinh)</definedName>
    <definedName name="fml_CDKT_NT_DcNo" localSheetId="0" hidden="1">SUMIF([0]!NT_CDNo,'[9]FS after adjusted'!$B1,[0]!NT_SoDieuChinh)</definedName>
    <definedName name="fml_CDKT_NT_DcNo" hidden="1">SUMIF(NT_CDNo,'[9]FS after adjusted'!$B1,NT_SoDieuChinh)</definedName>
    <definedName name="fml_KQKD_NN_DcCo" localSheetId="1" hidden="1">SUMIF(NN_KQCo,'[9]FS after adjusted'!$B1,NN_SoDieuChinh)</definedName>
    <definedName name="fml_KQKD_NN_DcCo" localSheetId="0" hidden="1">SUMIF([0]!NN_KQCo,'[9]FS after adjusted'!$B1,[0]!NN_SoDieuChinh)</definedName>
    <definedName name="fml_KQKD_NN_DcCo" hidden="1">SUMIF(NN_KQCo,'[9]FS after adjusted'!$B1,NN_SoDieuChinh)</definedName>
    <definedName name="fml_KQKD_NN_DcNo" localSheetId="1" hidden="1">SUMIF(NN_KQNo,'[9]FS after adjusted'!$B1,NN_SoDieuChinh)</definedName>
    <definedName name="fml_KQKD_NN_DcNo" localSheetId="0" hidden="1">SUMIF([0]!NN_KQNo,'[9]FS after adjusted'!$B1,[0]!NN_SoDieuChinh)</definedName>
    <definedName name="fml_KQKD_NN_DcNo" hidden="1">SUMIF(NN_KQNo,'[9]FS after adjusted'!$B1,NN_SoDieuChinh)</definedName>
    <definedName name="fml_KQKD_NT_DcCo" localSheetId="1" hidden="1">SUMIF(NT_KQCo,'[9]FS after adjusted'!$B1,NT_SoDieuChinh)</definedName>
    <definedName name="fml_KQKD_NT_DcCo" localSheetId="0" hidden="1">SUMIF([0]!NT_KQCo,'[9]FS after adjusted'!$B1,[0]!NT_SoDieuChinh)</definedName>
    <definedName name="fml_KQKD_NT_DcCo" hidden="1">SUMIF(NT_KQCo,'[9]FS after adjusted'!$B1,NT_SoDieuChinh)</definedName>
    <definedName name="fml_KQKD_NT_DcNo" localSheetId="1" hidden="1">SUMIF(NT_KQNo,'[9]FS after adjusted'!$B1,NT_SoDieuChinh)</definedName>
    <definedName name="fml_KQKD_NT_DcNo" localSheetId="0" hidden="1">SUMIF([0]!NT_KQNo,'[9]FS after adjusted'!$B1,[0]!NT_SoDieuChinh)</definedName>
    <definedName name="fml_KQKD_NT_DcNo" hidden="1">SUMIF(NT_KQNo,'[9]FS after adjusted'!$B1,NT_SoDieuChinh)</definedName>
    <definedName name="fml_LCTT_NN_DcCo" localSheetId="1" hidden="1" xml:space="preserve"> SUMIF(NN_DCCo,'[9]FS after adjusted'!$B1,NN_SoDieuChinh)</definedName>
    <definedName name="fml_LCTT_NN_DcCo" localSheetId="0" hidden="1" xml:space="preserve"> SUMIF([0]!NN_DCCo,'[9]FS after adjusted'!$B1,[0]!NN_SoDieuChinh)</definedName>
    <definedName name="fml_LCTT_NN_DcCo" hidden="1" xml:space="preserve"> SUMIF(NN_DCCo,'[9]FS after adjusted'!$B1,NN_SoDieuChinh)</definedName>
    <definedName name="fml_LCTT_NN_DcNo" localSheetId="1" hidden="1" xml:space="preserve"> SUMIF(NN_DCNo,'[9]FS after adjusted'!$B1,NN_SoDieuChinh)</definedName>
    <definedName name="fml_LCTT_NN_DcNo" localSheetId="0" hidden="1" xml:space="preserve"> SUMIF([0]!NN_DCNo,'[9]FS after adjusted'!$B1,[0]!NN_SoDieuChinh)</definedName>
    <definedName name="fml_LCTT_NN_DcNo" hidden="1" xml:space="preserve"> SUMIF(NN_DCNo,'[9]FS after adjusted'!$B1,NN_SoDieuChinh)</definedName>
    <definedName name="fml_LCTT_NT_DcCo" localSheetId="1" hidden="1" xml:space="preserve"> SUMIF(NT_DCCo,'[9]FS after adjusted'!$B1,NT_SoDieuChinh)</definedName>
    <definedName name="fml_LCTT_NT_DcCo" localSheetId="0" hidden="1" xml:space="preserve"> SUMIF([0]!NT_DCCo,'[9]FS after adjusted'!$B1,[0]!NT_SoDieuChinh)</definedName>
    <definedName name="fml_LCTT_NT_DcCo" hidden="1" xml:space="preserve"> SUMIF(NT_DCCo,'[9]FS after adjusted'!$B1,NT_SoDieuChinh)</definedName>
    <definedName name="fml_LCTT_NT_DcNo" localSheetId="1" hidden="1" xml:space="preserve"> SUMIF(NT_DCNo,'[9]FS after adjusted'!$B1,NT_SoDieuChinh)</definedName>
    <definedName name="fml_LCTT_NT_DcNo" localSheetId="0" hidden="1" xml:space="preserve"> SUMIF([0]!NT_DCNo,'[9]FS after adjusted'!$B1,[0]!NT_SoDieuChinh)</definedName>
    <definedName name="fml_LCTT_NT_DcNo" hidden="1" xml:space="preserve"> SUMIF(NT_DCNo,'[9]FS after adjusted'!$B1,NT_SoDieuChinh)</definedName>
    <definedName name="forecast" localSheetId="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localSheetId="0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m" localSheetId="3" hidden="1">#REF!</definedName>
    <definedName name="form" localSheetId="4" hidden="1">#REF!</definedName>
    <definedName name="form" hidden="1">#REF!</definedName>
    <definedName name="fqwfasf" localSheetId="3" hidden="1">#REF!</definedName>
    <definedName name="fqwfasf" localSheetId="4" hidden="1">#REF!</definedName>
    <definedName name="fqwfasf" localSheetId="0" hidden="1">#REF!</definedName>
    <definedName name="fqwfasf" hidden="1">#REF!</definedName>
    <definedName name="fun" localSheetId="1" hidden="1">{"page 1",#N/A,FALSE,"A";"page 2",#N/A,FALSE,"A";"page 3",#N/A,FALSE,"A";"page 4",#N/A,FALSE,"A";"page 5",#N/A,FALSE,"A"}</definedName>
    <definedName name="fun" localSheetId="0" hidden="1">{"page 1",#N/A,FALSE,"A";"page 2",#N/A,FALSE,"A";"page 3",#N/A,FALSE,"A";"page 4",#N/A,FALSE,"A";"page 5",#N/A,FALSE,"A"}</definedName>
    <definedName name="fun" hidden="1">{"page 1",#N/A,FALSE,"A";"page 2",#N/A,FALSE,"A";"page 3",#N/A,FALSE,"A";"page 4",#N/A,FALSE,"A";"page 5",#N/A,FALSE,"A"}</definedName>
    <definedName name="g" localSheetId="1" hidden="1">{#N/A,#N/A,FALSE,"Sheet3";#N/A,#N/A,FALSE,"Fin.Results";#N/A,#N/A,FALSE,"CONSOL";#N/A,#N/A,FALSE,"MGT RESULTS"}</definedName>
    <definedName name="g" localSheetId="0" hidden="1">{#N/A,#N/A,FALSE,"Sheet3";#N/A,#N/A,FALSE,"Fin.Results";#N/A,#N/A,FALSE,"CONSOL";#N/A,#N/A,FALSE,"MGT RESULTS"}</definedName>
    <definedName name="g" hidden="1">{#N/A,#N/A,FALSE,"Sheet3";#N/A,#N/A,FALSE,"Fin.Results";#N/A,#N/A,FALSE,"CONSOL";#N/A,#N/A,FALSE,"MGT RESULTS"}</definedName>
    <definedName name="gadhh.xls" localSheetId="1" hidden="1">{"'Sheet1'!$L$16"}</definedName>
    <definedName name="gadhh.xls" localSheetId="0" hidden="1">{"'Sheet1'!$L$16"}</definedName>
    <definedName name="gadhh.xls" hidden="1">{"'Sheet1'!$L$16"}</definedName>
    <definedName name="gdfgdfgdf" localSheetId="1" hidden="1">{"'Sheet1'!$L$16"}</definedName>
    <definedName name="gdfgdfgdf" localSheetId="0" hidden="1">{"'Sheet1'!$L$16"}</definedName>
    <definedName name="gdfgdfgdf" hidden="1">{"'Sheet1'!$L$16"}</definedName>
    <definedName name="gẻgwr" localSheetId="3" hidden="1">#REF!</definedName>
    <definedName name="gẻgwr" localSheetId="4" hidden="1">#REF!</definedName>
    <definedName name="gẻgwr" localSheetId="0" hidden="1">#REF!</definedName>
    <definedName name="gẻgwr" hidden="1">#REF!</definedName>
    <definedName name="gflsjfld.xls" localSheetId="1" hidden="1">{"'Sheet1'!$L$16"}</definedName>
    <definedName name="gflsjfld.xls" localSheetId="0" hidden="1">{"'Sheet1'!$L$16"}</definedName>
    <definedName name="gflsjfld.xls" hidden="1">{"'Sheet1'!$L$16"}</definedName>
    <definedName name="ggg" localSheetId="3" hidden="1">#REF!</definedName>
    <definedName name="ggg" localSheetId="4" hidden="1">#REF!</definedName>
    <definedName name="ggg" localSheetId="0" hidden="1">#REF!</definedName>
    <definedName name="ggg" hidden="1">#REF!</definedName>
    <definedName name="gggg" localSheetId="1" hidden="1">{"'Sheet1'!$L$16"}</definedName>
    <definedName name="gggg" localSheetId="0" hidden="1">{"'Sheet1'!$L$16"}</definedName>
    <definedName name="gggg" hidden="1">{"'Sheet1'!$L$16"}</definedName>
    <definedName name="ggggggggf" localSheetId="3" hidden="1">#REF!</definedName>
    <definedName name="ggggggggf" localSheetId="4" hidden="1">#REF!</definedName>
    <definedName name="ggggggggf" localSheetId="0" hidden="1">#REF!</definedName>
    <definedName name="ggggggggf" hidden="1">#REF!</definedName>
    <definedName name="ggggggggg" localSheetId="3" hidden="1">#REF!</definedName>
    <definedName name="ggggggggg" localSheetId="4" hidden="1">#REF!</definedName>
    <definedName name="ggggggggg" localSheetId="0" hidden="1">#REF!</definedName>
    <definedName name="ggggggggg" hidden="1">#REF!</definedName>
    <definedName name="GHHHS" localSheetId="1" hidden="1">{"'Sheet1'!$L$16"}</definedName>
    <definedName name="GHHHS" localSheetId="0" hidden="1">{"'Sheet1'!$L$16"}</definedName>
    <definedName name="GHHHS" hidden="1">{"'Sheet1'!$L$16"}</definedName>
    <definedName name="gkdsg.xls" localSheetId="1" hidden="1">{"'Sheet1'!$L$16"}</definedName>
    <definedName name="gkdsg.xls" localSheetId="0" hidden="1">{"'Sheet1'!$L$16"}</definedName>
    <definedName name="gkdsg.xls" hidden="1">{"'Sheet1'!$L$16"}</definedName>
    <definedName name="gkhf.xls" localSheetId="1" hidden="1">{"'Sheet1'!$L$16"}</definedName>
    <definedName name="gkhf.xls" localSheetId="0" hidden="1">{"'Sheet1'!$L$16"}</definedName>
    <definedName name="gkhf.xls" hidden="1">{"'Sheet1'!$L$16"}</definedName>
    <definedName name="GTOTAL" localSheetId="1" hidden="1">{"'Sheet1'!$L$16"}</definedName>
    <definedName name="GTOTAL" localSheetId="0" hidden="1">{"'Sheet1'!$L$16"}</definedName>
    <definedName name="GTOTAL" hidden="1">{"'Sheet1'!$L$16"}</definedName>
    <definedName name="gwyhszxujbqubajhvbhsqibcxkdhu" localSheetId="3" hidden="1">#REF!</definedName>
    <definedName name="gwyhszxujbqubajhvbhsqibcxkdhu" localSheetId="4" hidden="1">#REF!</definedName>
    <definedName name="gwyhszxujbqubajhvbhsqibcxkdhu" localSheetId="0" hidden="1">#REF!</definedName>
    <definedName name="gwyhszxujbqubajhvbhsqibcxkdhu" hidden="1">#REF!</definedName>
    <definedName name="haggh.xls" localSheetId="1" hidden="1">{"'Sheet1'!$L$16"}</definedName>
    <definedName name="haggh.xls" localSheetId="0" hidden="1">{"'Sheet1'!$L$16"}</definedName>
    <definedName name="haggh.xls" hidden="1">{"'Sheet1'!$L$16"}</definedName>
    <definedName name="hahahahaha" localSheetId="1" hidden="1">{"'Sheet1'!$L$16"}</definedName>
    <definedName name="hahahahaha" localSheetId="0" hidden="1">{"'Sheet1'!$L$16"}</definedName>
    <definedName name="hahahahaha" hidden="1">{"'Sheet1'!$L$16"}</definedName>
    <definedName name="hanh" localSheetId="1" hidden="1">{"'Sheet1'!$L$16"}</definedName>
    <definedName name="hanh" localSheetId="0" hidden="1">{"'Sheet1'!$L$16"}</definedName>
    <definedName name="hanh" hidden="1">{"'Sheet1'!$L$16"}</definedName>
    <definedName name="hdfhf" localSheetId="1" hidden="1">{"'Sheet1'!$L$16"}</definedName>
    <definedName name="hdfhf" localSheetId="0" hidden="1">{"'Sheet1'!$L$16"}</definedName>
    <definedName name="hdfhf" hidden="1">{"'Sheet1'!$L$16"}</definedName>
    <definedName name="hethongthoatnuocngoainha" localSheetId="3" hidden="1">#REF!</definedName>
    <definedName name="hethongthoatnuocngoainha" localSheetId="4" hidden="1">#REF!</definedName>
    <definedName name="hethongthoatnuocngoainha" localSheetId="0" hidden="1">#REF!</definedName>
    <definedName name="hethongthoatnuocngoainha" hidden="1">#REF!</definedName>
    <definedName name="hfghh.xls" localSheetId="1" hidden="1">{"'Sheet1'!$L$16"}</definedName>
    <definedName name="hfghh.xls" localSheetId="0" hidden="1">{"'Sheet1'!$L$16"}</definedName>
    <definedName name="hfghh.xls" hidden="1">{"'Sheet1'!$L$16"}</definedName>
    <definedName name="hglj" localSheetId="1" hidden="1">{"'Sheet1'!$L$16"}</definedName>
    <definedName name="hglj" localSheetId="0" hidden="1">{"'Sheet1'!$L$16"}</definedName>
    <definedName name="hglj" hidden="1">{"'Sheet1'!$L$16"}</definedName>
    <definedName name="HH" localSheetId="1" hidden="1">{"'Sheet1'!$L$16"}</definedName>
    <definedName name="HH" localSheetId="0" hidden="1">{"'Sheet1'!$L$16"}</definedName>
    <definedName name="HH" hidden="1">{"'Sheet1'!$L$16"}</definedName>
    <definedName name="hhhhhhhhh" localSheetId="3" hidden="1">#REF!</definedName>
    <definedName name="hhhhhhhhh" localSheetId="4" hidden="1">#REF!</definedName>
    <definedName name="hhhhhhhhh" localSheetId="0" hidden="1">#REF!</definedName>
    <definedName name="hhhhhhhhh" hidden="1">#REF!</definedName>
    <definedName name="hhhhhhhhhhhhh" localSheetId="3" hidden="1">#REF!</definedName>
    <definedName name="hhhhhhhhhhhhh" localSheetId="4" hidden="1">#REF!</definedName>
    <definedName name="hhhhhhhhhhhhh" localSheetId="0" hidden="1">#REF!</definedName>
    <definedName name="hhhhhhhhhhhhh" hidden="1">#REF!</definedName>
    <definedName name="HiddenRows" localSheetId="3" hidden="1">#REF!</definedName>
    <definedName name="HiddenRows" localSheetId="4" hidden="1">#REF!</definedName>
    <definedName name="HiddenRows" localSheetId="0" hidden="1">#REF!</definedName>
    <definedName name="HiddenRows" hidden="1">#REF!</definedName>
    <definedName name="HIEU" localSheetId="1" hidden="1">{"'Sheet1'!$L$16"}</definedName>
    <definedName name="HIEU" localSheetId="0" hidden="1">{"'Sheet1'!$L$16"}</definedName>
    <definedName name="HIEU" hidden="1">{"'Sheet1'!$L$16"}</definedName>
    <definedName name="hjjkl" localSheetId="1" hidden="1">{"'Sheet1'!$L$16"}</definedName>
    <definedName name="hjjkl" localSheetId="0" hidden="1">{"'Sheet1'!$L$16"}</definedName>
    <definedName name="hjjkl" hidden="1">{"'Sheet1'!$L$16"}</definedName>
    <definedName name="hkjkll" localSheetId="1" hidden="1">{"'Sheet1'!$L$16"}</definedName>
    <definedName name="hkjkll" localSheetId="0" hidden="1">{"'Sheet1'!$L$16"}</definedName>
    <definedName name="hkjkll" hidden="1">{"'Sheet1'!$L$16"}</definedName>
    <definedName name="hklhlk.xls" localSheetId="1" hidden="1">{"'Sheet1'!$L$16"}</definedName>
    <definedName name="hklhlk.xls" localSheetId="0" hidden="1">{"'Sheet1'!$L$16"}</definedName>
    <definedName name="hklhlk.xls" hidden="1">{"'Sheet1'!$L$16"}</definedName>
    <definedName name="hmgmt" localSheetId="3" hidden="1">#REF!</definedName>
    <definedName name="hmgmt" localSheetId="4" hidden="1">#REF!</definedName>
    <definedName name="hmgmt" localSheetId="0" hidden="1">#REF!</definedName>
    <definedName name="hmgmt" hidden="1">#REF!</definedName>
    <definedName name="hoangthiviet" localSheetId="1" hidden="1">{"'Sheet1'!$L$16"}</definedName>
    <definedName name="hoangthiviet" localSheetId="0" hidden="1">{"'Sheet1'!$L$16"}</definedName>
    <definedName name="hoangthiviet" hidden="1">{"'Sheet1'!$L$16"}</definedName>
    <definedName name="hong" localSheetId="1" hidden="1">{"'Sheet1'!$L$16"}</definedName>
    <definedName name="hong" localSheetId="0" hidden="1">{"'Sheet1'!$L$16"}</definedName>
    <definedName name="hong" hidden="1">{"'Sheet1'!$L$16"}</definedName>
    <definedName name="hp" localSheetId="1" hidden="1">{"'Sheet1'!$L$16"}</definedName>
    <definedName name="hp" localSheetId="0" hidden="1">{"'Sheet1'!$L$16"}</definedName>
    <definedName name="hp" hidden="1">{"'Sheet1'!$L$16"}</definedName>
    <definedName name="hsd" localSheetId="3" hidden="1">#REF!</definedName>
    <definedName name="hsd" localSheetId="4" hidden="1">#REF!</definedName>
    <definedName name="hsd" hidden="1">#REF!</definedName>
    <definedName name="htg" localSheetId="1" hidden="1">{#N/A,#N/A,TRUE,"BT M200 da 10x20"}</definedName>
    <definedName name="htg" localSheetId="0" hidden="1">{#N/A,#N/A,TRUE,"BT M200 da 10x20"}</definedName>
    <definedName name="htg" hidden="1">{#N/A,#N/A,TRUE,"BT M200 da 10x20"}</definedName>
    <definedName name="htlm" localSheetId="1" hidden="1">{"'Sheet1'!$L$16"}</definedName>
    <definedName name="htlm" localSheetId="0" hidden="1">{"'Sheet1'!$L$16"}</definedName>
    <definedName name="htlm" hidden="1">{"'Sheet1'!$L$16"}</definedName>
    <definedName name="HTML_CodePage" hidden="1">950</definedName>
    <definedName name="HTML_Control" localSheetId="1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Template" hidden="1">"F:\templates\globalnsop.htm"</definedName>
    <definedName name="HTML_Title" hidden="1">"00Q3961-SUM"</definedName>
    <definedName name="hu" localSheetId="1" hidden="1">{"'Sheet1'!$L$16"}</definedName>
    <definedName name="hu" localSheetId="0" hidden="1">{"'Sheet1'!$L$16"}</definedName>
    <definedName name="hu" hidden="1">{"'Sheet1'!$L$16"}</definedName>
    <definedName name="hui" localSheetId="1" hidden="1">{"'Sheet1'!$L$16"}</definedName>
    <definedName name="hui" localSheetId="0" hidden="1">{"'Sheet1'!$L$16"}</definedName>
    <definedName name="hui" hidden="1">{"'Sheet1'!$L$16"}</definedName>
    <definedName name="huy" localSheetId="1" hidden="1">{"'Sheet1'!$L$16"}</definedName>
    <definedName name="huy" localSheetId="0" hidden="1">{"'Sheet1'!$L$16"}</definedName>
    <definedName name="huy" hidden="1">{"'Sheet1'!$L$16"}</definedName>
    <definedName name="huyhoa" localSheetId="1" hidden="1">{"'Sheet1'!$L$16"}</definedName>
    <definedName name="huyhoa" localSheetId="0" hidden="1">{"'Sheet1'!$L$16"}</definedName>
    <definedName name="huyhoa" hidden="1">{"'Sheet1'!$L$16"}</definedName>
    <definedName name="iiiiiiiu" localSheetId="3" hidden="1">#REF!</definedName>
    <definedName name="iiiiiiiu" localSheetId="4" hidden="1">#REF!</definedName>
    <definedName name="iiiiiiiu" localSheetId="0" hidden="1">#REF!</definedName>
    <definedName name="iiiiiiiu" hidden="1">#REF!</definedName>
    <definedName name="jjjj" localSheetId="3" hidden="1">#REF!</definedName>
    <definedName name="jjjj" localSheetId="4" hidden="1">#REF!</definedName>
    <definedName name="jjjj" localSheetId="0" hidden="1">#REF!</definedName>
    <definedName name="jjjj" hidden="1">#REF!</definedName>
    <definedName name="jjjjjy" localSheetId="3" hidden="1">#REF!</definedName>
    <definedName name="jjjjjy" localSheetId="4" hidden="1">#REF!</definedName>
    <definedName name="jjjjjy" localSheetId="0" hidden="1">#REF!</definedName>
    <definedName name="jjjjjy" hidden="1">#REF!</definedName>
    <definedName name="jkj" localSheetId="1" hidden="1">{"mult96",#N/A,FALSE,"PETCOMP";"est96",#N/A,FALSE,"PETCOMP";"mult95",#N/A,FALSE,"PETCOMP";"est95",#N/A,FALSE,"PETCOMP";"multltm",#N/A,FALSE,"PETCOMP";"resultltm",#N/A,FALSE,"PETCOMP"}</definedName>
    <definedName name="jkj" localSheetId="0" hidden="1">{"mult96",#N/A,FALSE,"PETCOMP";"est96",#N/A,FALSE,"PETCOMP";"mult95",#N/A,FALSE,"PETCOMP";"est95",#N/A,FALSE,"PETCOMP";"multltm",#N/A,FALSE,"PETCOMP";"resultltm",#N/A,FALSE,"PETCOMP"}</definedName>
    <definedName name="jkj" hidden="1">{"mult96",#N/A,FALSE,"PETCOMP";"est96",#N/A,FALSE,"PETCOMP";"mult95",#N/A,FALSE,"PETCOMP";"est95",#N/A,FALSE,"PETCOMP";"multltm",#N/A,FALSE,"PETCOMP";"resultltm",#N/A,FALSE,"PETCOMP"}</definedName>
    <definedName name="jkliuliu" localSheetId="3" hidden="1">#REF!</definedName>
    <definedName name="jkliuliu" localSheetId="4" hidden="1">#REF!</definedName>
    <definedName name="jkliuliu" hidden="1">#REF!</definedName>
    <definedName name="jkljkll" localSheetId="3" hidden="1">#REF!</definedName>
    <definedName name="jkljkll" localSheetId="4" hidden="1">#REF!</definedName>
    <definedName name="jkljkll" localSheetId="0" hidden="1">#REF!</definedName>
    <definedName name="jkljkll" hidden="1">#REF!</definedName>
    <definedName name="jklkjlj" localSheetId="3" hidden="1">#REF!</definedName>
    <definedName name="jklkjlj" localSheetId="4" hidden="1">#REF!</definedName>
    <definedName name="jklkjlj" localSheetId="0" hidden="1">#REF!</definedName>
    <definedName name="jklkjlj" hidden="1">#REF!</definedName>
    <definedName name="jkllklj" localSheetId="3" hidden="1">#REF!</definedName>
    <definedName name="jkllklj" localSheetId="4" hidden="1">#REF!</definedName>
    <definedName name="jkllklj" localSheetId="0" hidden="1">#REF!</definedName>
    <definedName name="jkllklj" hidden="1">#REF!</definedName>
    <definedName name="jmjg" localSheetId="3" hidden="1">#REF!</definedName>
    <definedName name="jmjg" localSheetId="4" hidden="1">#REF!</definedName>
    <definedName name="jmjg" localSheetId="0" hidden="1">#REF!</definedName>
    <definedName name="jmjg" hidden="1">#REF!</definedName>
    <definedName name="JUN" localSheetId="1" hidden="1">{"'Sheet1'!$L$16"}</definedName>
    <definedName name="JUN" localSheetId="0" hidden="1">{"'Sheet1'!$L$16"}</definedName>
    <definedName name="JUN" hidden="1">{"'Sheet1'!$L$16"}</definedName>
    <definedName name="jyjyr" localSheetId="3" hidden="1">#REF!</definedName>
    <definedName name="jyjyr" localSheetId="4" hidden="1">#REF!</definedName>
    <definedName name="jyjyr" hidden="1">#REF!</definedName>
    <definedName name="kd" localSheetId="3" hidden="1">#REF!</definedName>
    <definedName name="kd" localSheetId="4" hidden="1">#REF!</definedName>
    <definedName name="kd" localSheetId="0" hidden="1">#REF!</definedName>
    <definedName name="kd" hidden="1">#REF!</definedName>
    <definedName name="kf" localSheetId="1" hidden="1">{"'Sheet1'!$L$16"}</definedName>
    <definedName name="kf" localSheetId="0" hidden="1">{"'Sheet1'!$L$16"}</definedName>
    <definedName name="kf" hidden="1">{"'Sheet1'!$L$16"}</definedName>
    <definedName name="kjkjkj" localSheetId="1" hidden="1">{"'Sheet1'!$L$16"}</definedName>
    <definedName name="kjkjkj" localSheetId="0" hidden="1">{"'Sheet1'!$L$16"}</definedName>
    <definedName name="kjkjkj" hidden="1">{"'Sheet1'!$L$16"}</definedName>
    <definedName name="kljgkg.xls" localSheetId="1" hidden="1">{"'Sheet1'!$L$16"}</definedName>
    <definedName name="kljgkg.xls" localSheetId="0" hidden="1">{"'Sheet1'!$L$16"}</definedName>
    <definedName name="kljgkg.xls" hidden="1">{"'Sheet1'!$L$16"}</definedName>
    <definedName name="klm" localSheetId="1" hidden="1">{"'Sheet1'!$L$16"}</definedName>
    <definedName name="klm" localSheetId="0" hidden="1">{"'Sheet1'!$L$16"}</definedName>
    <definedName name="klm" hidden="1">{"'Sheet1'!$L$16"}</definedName>
    <definedName name="KN_CT10" hidden="1">[6]Tong_hop!$S$377</definedName>
    <definedName name="KN_CT270" hidden="1">[6]Tong_hop!$S$209</definedName>
    <definedName name="KN_CT410" hidden="1">[6]Tong_hop!$S$306</definedName>
    <definedName name="KN_CT50" hidden="1">[6]Tong_hop!$S$418</definedName>
    <definedName name="kqkd" localSheetId="1" hidden="1">{"'Sheet1'!$L$16"}</definedName>
    <definedName name="kqkd" localSheetId="0" hidden="1">{"'Sheet1'!$L$16"}</definedName>
    <definedName name="kqkd" hidden="1">{"'Sheet1'!$L$16"}</definedName>
    <definedName name="KT_CT10" hidden="1">[6]Tong_hop!$AG$377</definedName>
    <definedName name="KT_CT270" hidden="1">[6]Tong_hop!$AG$209</definedName>
    <definedName name="KT_CT410" hidden="1">[6]Tong_hop!$AG$306</definedName>
    <definedName name="KT_CT50" hidden="1">[6]Tong_hop!$AG$418</definedName>
    <definedName name="Ky_ke_toan_V" hidden="1">[6]Thong_tin!$D$12</definedName>
    <definedName name="Ky_Nay2_V" hidden="1">[5]Thong_tin!$D$15</definedName>
    <definedName name="Ky_Truoc2_V" hidden="1">[5]Thong_tin!$D$16</definedName>
    <definedName name="khongtruotgia" localSheetId="1" hidden="1">{"'Sheet1'!$L$16"}</definedName>
    <definedName name="khongtruotgia" localSheetId="0" hidden="1">{"'Sheet1'!$L$16"}</definedName>
    <definedName name="khongtruotgia" hidden="1">{"'Sheet1'!$L$16"}</definedName>
    <definedName name="LCBTCP_NN" hidden="1">[5]LCBTCP!$B$36</definedName>
    <definedName name="LCBTCP_NT" hidden="1">[5]LCBTCP!$C$36</definedName>
    <definedName name="Lillama" localSheetId="1" hidden="1">{"'Sheet1'!$L$16"}</definedName>
    <definedName name="Lillama" localSheetId="0" hidden="1">{"'Sheet1'!$L$16"}</definedName>
    <definedName name="Lillama" hidden="1">{"'Sheet1'!$L$16"}</definedName>
    <definedName name="linhT" localSheetId="1" hidden="1">{"'Sheet1'!$L$16"}</definedName>
    <definedName name="linhT" localSheetId="0" hidden="1">{"'Sheet1'!$L$16"}</definedName>
    <definedName name="linhT" hidden="1">{"'Sheet1'!$L$16"}</definedName>
    <definedName name="ljliu" localSheetId="3" hidden="1">#REF!</definedName>
    <definedName name="ljliu" localSheetId="4" hidden="1">#REF!</definedName>
    <definedName name="ljliu" localSheetId="0" hidden="1">#REF!</definedName>
    <definedName name="ljliu" hidden="1">#REF!</definedName>
    <definedName name="LLLLL" localSheetId="1" hidden="1">{#N/A,#N/A,FALSE,"Chi tiÆt"}</definedName>
    <definedName name="LLLLL" localSheetId="0" hidden="1">{#N/A,#N/A,FALSE,"Chi tiÆt"}</definedName>
    <definedName name="LLLLL" hidden="1">{#N/A,#N/A,FALSE,"Chi tiÆt"}</definedName>
    <definedName name="LTKD" localSheetId="1" hidden="1">{"'Sheet1'!$L$16"}</definedName>
    <definedName name="LTKD" localSheetId="0" hidden="1">{"'Sheet1'!$L$16"}</definedName>
    <definedName name="LTKD" hidden="1">{"'Sheet1'!$L$16"}</definedName>
    <definedName name="LTKDDC" localSheetId="1" hidden="1">{"'Sheet1'!$L$16"}</definedName>
    <definedName name="LTKDDC" localSheetId="0" hidden="1">{"'Sheet1'!$L$16"}</definedName>
    <definedName name="LTKDDC" hidden="1">{"'Sheet1'!$L$16"}</definedName>
    <definedName name="luan" localSheetId="1" hidden="1">{"'Sheet1'!$L$16"}</definedName>
    <definedName name="luan" localSheetId="0" hidden="1">{"'Sheet1'!$L$16"}</definedName>
    <definedName name="luan" hidden="1">{"'Sheet1'!$L$16"}</definedName>
    <definedName name="Luong" localSheetId="1" hidden="1">{"'Sheet1'!$L$16"}</definedName>
    <definedName name="Luong" localSheetId="0" hidden="1">{"'Sheet1'!$L$16"}</definedName>
    <definedName name="Luong" hidden="1">{"'Sheet1'!$L$16"}</definedName>
    <definedName name="luyÕn" localSheetId="1" hidden="1">{"'Sheet1'!$L$16"}</definedName>
    <definedName name="luyÕn" localSheetId="0" hidden="1">{"'Sheet1'!$L$16"}</definedName>
    <definedName name="luyÕn" hidden="1">{"'Sheet1'!$L$16"}</definedName>
    <definedName name="M10." localSheetId="1" hidden="1">{"'Sheet1'!$L$16"}</definedName>
    <definedName name="M10." localSheetId="0" hidden="1">{"'Sheet1'!$L$16"}</definedName>
    <definedName name="M10." hidden="1">{"'Sheet1'!$L$16"}</definedName>
    <definedName name="mai" localSheetId="1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mai" localSheetId="0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mai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mm" localSheetId="1" hidden="1">{"adj95mult",#N/A,FALSE,"COMPCO";"adj95est",#N/A,FALSE,"COMPCO"}</definedName>
    <definedName name="mm" localSheetId="0" hidden="1">{"adj95mult",#N/A,FALSE,"COMPCO";"adj95est",#N/A,FALSE,"COMPCO"}</definedName>
    <definedName name="mm" hidden="1">{"adj95mult",#N/A,FALSE,"COMPCO";"adj95est",#N/A,FALSE,"COMPCO"}</definedName>
    <definedName name="mo" localSheetId="1" hidden="1">{"'Sheet1'!$L$16"}</definedName>
    <definedName name="mo" localSheetId="0" hidden="1">{"'Sheet1'!$L$16"}</definedName>
    <definedName name="mo" hidden="1">{"'Sheet1'!$L$16"}</definedName>
    <definedName name="moi" localSheetId="1" hidden="1">{"'Sheet1'!$L$16"}</definedName>
    <definedName name="moi" localSheetId="0" hidden="1">{"'Sheet1'!$L$16"}</definedName>
    <definedName name="moi" hidden="1">{"'Sheet1'!$L$16"}</definedName>
    <definedName name="MYHUYEN" localSheetId="1" hidden="1">{"'Sheet1'!$L$16"}</definedName>
    <definedName name="MYHUYEN" localSheetId="0" hidden="1">{"'Sheet1'!$L$16"}</definedName>
    <definedName name="MYHUYEN" hidden="1">{"'Sheet1'!$L$16"}</definedName>
    <definedName name="Nam" localSheetId="3" hidden="1">#REF!</definedName>
    <definedName name="Nam" localSheetId="4" hidden="1">#REF!</definedName>
    <definedName name="Nam" localSheetId="0" hidden="1">#REF!</definedName>
    <definedName name="Nam" hidden="1">#REF!</definedName>
    <definedName name="nammm.xls" localSheetId="1" hidden="1">{"'Sheet1'!$L$16"}</definedName>
    <definedName name="nammm.xls" localSheetId="0" hidden="1">{"'Sheet1'!$L$16"}</definedName>
    <definedName name="nammm.xls" hidden="1">{"'Sheet1'!$L$16"}</definedName>
    <definedName name="nbvbv.xls" localSheetId="1" hidden="1">{"'Sheet1'!$L$16"}</definedName>
    <definedName name="nbvbv.xls" localSheetId="0" hidden="1">{"'Sheet1'!$L$16"}</definedName>
    <definedName name="nbvbv.xls" hidden="1">{"'Sheet1'!$L$16"}</definedName>
    <definedName name="nbvxcb.xls" localSheetId="1" hidden="1">{"'Sheet1'!$L$16"}</definedName>
    <definedName name="nbvxcb.xls" localSheetId="0" hidden="1">{"'Sheet1'!$L$16"}</definedName>
    <definedName name="nbvxcb.xls" hidden="1">{"'Sheet1'!$L$16"}</definedName>
    <definedName name="new" localSheetId="1" hidden="1">{"Graphic",#N/A,TRUE,"Graphic"}</definedName>
    <definedName name="new" localSheetId="0" hidden="1">{"Graphic",#N/A,TRUE,"Graphic"}</definedName>
    <definedName name="new" hidden="1">{"Graphic",#N/A,TRUE,"Graphic"}</definedName>
    <definedName name="NN_CDCo" hidden="1">[5]Dieu_chinh!$P$10:$P$161</definedName>
    <definedName name="NN_CDNo" hidden="1">[5]Dieu_chinh!$O$10:$O$161</definedName>
    <definedName name="NN_DCCo" hidden="1">[5]Dieu_chinh!$H$10:$H$161</definedName>
    <definedName name="NN_DCNo" hidden="1">[5]Dieu_chinh!$F$10:$F$161</definedName>
    <definedName name="NN_KQCo" hidden="1">[5]Dieu_chinh!$R$10:$R$161</definedName>
    <definedName name="NN_KQNo" hidden="1">[5]Dieu_chinh!$Q$10:$Q$161</definedName>
    <definedName name="NN_SoDieuChinh" hidden="1">[5]Dieu_chinh!$N$10:$N$161</definedName>
    <definedName name="NN_YKienKH" hidden="1">[5]Dieu_chinh!$S$10:$S$161</definedName>
    <definedName name="nnn" localSheetId="1" hidden="1">{"Graphic",#N/A,TRUE,"Graphic"}</definedName>
    <definedName name="nnn" localSheetId="0" hidden="1">{"Graphic",#N/A,TRUE,"Graphic"}</definedName>
    <definedName name="nnn" hidden="1">{"Graphic",#N/A,TRUE,"Graphic"}</definedName>
    <definedName name="nnnnnnh" localSheetId="1" hidden="1">{#N/A,#N/A,FALSE,"F.E-register";#N/A,#N/A,FALSE,"MV-register";#N/A,#N/A,FALSE,"Off.Eq-Resister";#N/A,#N/A,FALSE,"Off.F&amp;F.resister";#N/A,#N/A,FALSE,"CPT-resister";#N/A,#N/A,FALSE,"H Equip-resister"}</definedName>
    <definedName name="nnnnnnh" localSheetId="0" hidden="1">{#N/A,#N/A,FALSE,"F.E-register";#N/A,#N/A,FALSE,"MV-register";#N/A,#N/A,FALSE,"Off.Eq-Resister";#N/A,#N/A,FALSE,"Off.F&amp;F.resister";#N/A,#N/A,FALSE,"CPT-resister";#N/A,#N/A,FALSE,"H Equip-resister"}</definedName>
    <definedName name="nnnnnnh" hidden="1">{#N/A,#N/A,FALSE,"F.E-register";#N/A,#N/A,FALSE,"MV-register";#N/A,#N/A,FALSE,"Off.Eq-Resister";#N/A,#N/A,FALSE,"Off.F&amp;F.resister";#N/A,#N/A,FALSE,"CPT-resister";#N/A,#N/A,FALSE,"H Equip-resister"}</definedName>
    <definedName name="nnnh" localSheetId="3" hidden="1">#REF!</definedName>
    <definedName name="nnnh" localSheetId="4" hidden="1">#REF!</definedName>
    <definedName name="nnnh" localSheetId="0" hidden="1">#REF!</definedName>
    <definedName name="nnnh" hidden="1">#REF!</definedName>
    <definedName name="NPP" localSheetId="3" hidden="1">#REF!</definedName>
    <definedName name="NPP" localSheetId="4" hidden="1">#REF!</definedName>
    <definedName name="NPP" localSheetId="0" hidden="1">#REF!</definedName>
    <definedName name="NPP" hidden="1">#REF!</definedName>
    <definedName name="NT_CDCo" hidden="1">[5]Dieu_chinh!$P$164:$P$315</definedName>
    <definedName name="NT_CDNo" hidden="1">[5]Dieu_chinh!$O$164:$O$315</definedName>
    <definedName name="NT_DCCo" hidden="1">[5]Dieu_chinh!$H$164:$H$315</definedName>
    <definedName name="NT_DCNo" hidden="1">[5]Dieu_chinh!$F$164:$F$315</definedName>
    <definedName name="NT_KQCo" hidden="1">[5]Dieu_chinh!$R$164:$R$315</definedName>
    <definedName name="NT_KQNo" hidden="1">[5]Dieu_chinh!$Q$164:$Q$315</definedName>
    <definedName name="NT_SoDieuChinh" hidden="1">[5]Dieu_chinh!$N$164:$N$315</definedName>
    <definedName name="ngu" localSheetId="1" hidden="1">{"'Sheet1'!$L$16"}</definedName>
    <definedName name="ngu" localSheetId="0" hidden="1">{"'Sheet1'!$L$16"}</definedName>
    <definedName name="ngu" hidden="1">{"'Sheet1'!$L$16"}</definedName>
    <definedName name="o" localSheetId="1" hidden="1">{"'Sheet1'!$L$16"}</definedName>
    <definedName name="o" localSheetId="0" hidden="1">{"'Sheet1'!$L$16"}</definedName>
    <definedName name="o" hidden="1">{"'Sheet1'!$L$16"}</definedName>
    <definedName name="one" localSheetId="1" hidden="1">{"adj95mult",#N/A,FALSE,"COMPCO";"adj95est",#N/A,FALSE,"COMPCO"}</definedName>
    <definedName name="one" localSheetId="0" hidden="1">{"adj95mult",#N/A,FALSE,"COMPCO";"adj95est",#N/A,FALSE,"COMPCO"}</definedName>
    <definedName name="one" hidden="1">{"adj95mult",#N/A,FALSE,"COMPCO";"adj95est",#N/A,FALSE,"COMPCO"}</definedName>
    <definedName name="ooo" localSheetId="3" hidden="1">#REF!</definedName>
    <definedName name="ooo" localSheetId="4" hidden="1">#REF!</definedName>
    <definedName name="ooo" hidden="1">#REF!</definedName>
    <definedName name="OrderTable" localSheetId="3" hidden="1">#REF!</definedName>
    <definedName name="OrderTable" localSheetId="4" hidden="1">#REF!</definedName>
    <definedName name="OrderTable" localSheetId="0" hidden="1">#REF!</definedName>
    <definedName name="OrderTable" hidden="1">#REF!</definedName>
    <definedName name="PE" localSheetId="3" hidden="1">#REF!</definedName>
    <definedName name="PE" localSheetId="4" hidden="1">#REF!</definedName>
    <definedName name="PE" localSheetId="0" hidden="1">#REF!</definedName>
    <definedName name="PE" hidden="1">#REF!</definedName>
    <definedName name="PGV" localSheetId="3" hidden="1">#REF!</definedName>
    <definedName name="PGV" localSheetId="4" hidden="1">#REF!</definedName>
    <definedName name="PGV" localSheetId="0" hidden="1">#REF!</definedName>
    <definedName name="PGV" hidden="1">#REF!</definedName>
    <definedName name="PO" localSheetId="3" hidden="1">#REF!</definedName>
    <definedName name="PO" localSheetId="4" hidden="1">#REF!</definedName>
    <definedName name="PO" localSheetId="0" hidden="1">#REF!</definedName>
    <definedName name="PO" hidden="1">#REF!</definedName>
    <definedName name="POA" localSheetId="3" hidden="1">#REF!</definedName>
    <definedName name="POA" localSheetId="4" hidden="1">#REF!</definedName>
    <definedName name="POA" localSheetId="0" hidden="1">#REF!</definedName>
    <definedName name="POA" hidden="1">#REF!</definedName>
    <definedName name="Popn" localSheetId="1" hidden="1">{"'Sheet1'!$L$16"}</definedName>
    <definedName name="Popn" localSheetId="0" hidden="1">{"'Sheet1'!$L$16"}</definedName>
    <definedName name="Popn" hidden="1">{"'Sheet1'!$L$16"}</definedName>
    <definedName name="ProdForm" localSheetId="3" hidden="1">#REF!</definedName>
    <definedName name="ProdForm" localSheetId="4" hidden="1">#REF!</definedName>
    <definedName name="ProdForm" localSheetId="0" hidden="1">#REF!</definedName>
    <definedName name="ProdForm" hidden="1">#REF!</definedName>
    <definedName name="Product" localSheetId="3" hidden="1">#REF!</definedName>
    <definedName name="Product" localSheetId="4" hidden="1">#REF!</definedName>
    <definedName name="Product" localSheetId="0" hidden="1">#REF!</definedName>
    <definedName name="Product" hidden="1">#REF!</definedName>
    <definedName name="pt" localSheetId="1" hidden="1">{"'Hong Khenh'!$A$1:$S$31"}</definedName>
    <definedName name="pt" localSheetId="0" hidden="1">{"'Hong Khenh'!$A$1:$S$31"}</definedName>
    <definedName name="pt" hidden="1">{"'Hong Khenh'!$A$1:$S$31"}</definedName>
    <definedName name="q" localSheetId="1" hidden="1">{"'Sheet1'!$L$16"}</definedName>
    <definedName name="q" localSheetId="0" hidden="1">{"'Sheet1'!$L$16"}</definedName>
    <definedName name="q" hidden="1">{"'Sheet1'!$L$16"}</definedName>
    <definedName name="qeq" localSheetId="1" hidden="1">{#N/A,#N/A,TRUE,"BT M200 da 10x20"}</definedName>
    <definedName name="qeq" localSheetId="0" hidden="1">{#N/A,#N/A,TRUE,"BT M200 da 10x20"}</definedName>
    <definedName name="qeq" hidden="1">{#N/A,#N/A,TRUE,"BT M200 da 10x20"}</definedName>
    <definedName name="qqq" localSheetId="1" hidden="1">{"'Sheet1'!$L$16"}</definedName>
    <definedName name="qqq" localSheetId="0" hidden="1">{"'Sheet1'!$L$16"}</definedName>
    <definedName name="qqq" hidden="1">{"'Sheet1'!$L$16"}</definedName>
    <definedName name="qqqqqqqqqq" hidden="1">71</definedName>
    <definedName name="qqqqqqqqr" localSheetId="3" hidden="1">#REF!</definedName>
    <definedName name="qqqqqqqqr" localSheetId="4" hidden="1">#REF!</definedName>
    <definedName name="qqqqqqqqr" hidden="1">#REF!</definedName>
    <definedName name="qqqqw" localSheetId="1" hidden="1">{#N/A,#N/A,FALSE,"Chi tiÆt"}</definedName>
    <definedName name="qqqqw" localSheetId="0" hidden="1">{#N/A,#N/A,FALSE,"Chi tiÆt"}</definedName>
    <definedName name="qqqqw" hidden="1">{#N/A,#N/A,FALSE,"Chi tiÆt"}</definedName>
    <definedName name="qvnbm.xls" localSheetId="1" hidden="1">{"'Sheet1'!$L$16"}</definedName>
    <definedName name="qvnbm.xls" localSheetId="0" hidden="1">{"'Sheet1'!$L$16"}</definedName>
    <definedName name="qvnbm.xls" hidden="1">{"'Sheet1'!$L$16"}</definedName>
    <definedName name="quan" localSheetId="1" hidden="1">{"'Sheet1'!$L$16"}</definedName>
    <definedName name="quan" localSheetId="0" hidden="1">{"'Sheet1'!$L$16"}</definedName>
    <definedName name="quan" hidden="1">{"'Sheet1'!$L$16"}</definedName>
    <definedName name="Ranhxay" localSheetId="1" hidden="1">{"'Sheet1'!$L$16"}</definedName>
    <definedName name="Ranhxay" localSheetId="0" hidden="1">{"'Sheet1'!$L$16"}</definedName>
    <definedName name="Ranhxay" hidden="1">{"'Sheet1'!$L$16"}</definedName>
    <definedName name="RCArea" localSheetId="3" hidden="1">#REF!</definedName>
    <definedName name="RCArea" localSheetId="4" hidden="1">#REF!</definedName>
    <definedName name="RCArea" localSheetId="0" hidden="1">#REF!</definedName>
    <definedName name="RCArea" hidden="1">#REF!</definedName>
    <definedName name="Refuse" hidden="1">[5]DM!$B$4</definedName>
    <definedName name="rèh" localSheetId="1" hidden="1">{#N/A,#N/A,FALSE,"F.E-register";#N/A,#N/A,FALSE,"MV-register";#N/A,#N/A,FALSE,"Off.Eq-Resister";#N/A,#N/A,FALSE,"Off.F&amp;F.resister";#N/A,#N/A,FALSE,"CPT-resister";#N/A,#N/A,FALSE,"H Equip-resister"}</definedName>
    <definedName name="rèh" localSheetId="0" hidden="1">{#N/A,#N/A,FALSE,"F.E-register";#N/A,#N/A,FALSE,"MV-register";#N/A,#N/A,FALSE,"Off.Eq-Resister";#N/A,#N/A,FALSE,"Off.F&amp;F.resister";#N/A,#N/A,FALSE,"CPT-resister";#N/A,#N/A,FALSE,"H Equip-resister"}</definedName>
    <definedName name="rèh" hidden="1">{#N/A,#N/A,FALSE,"F.E-register";#N/A,#N/A,FALSE,"MV-register";#N/A,#N/A,FALSE,"Off.Eq-Resister";#N/A,#N/A,FALSE,"Off.F&amp;F.resister";#N/A,#N/A,FALSE,"CPT-resister";#N/A,#N/A,FALSE,"H Equip-resister"}</definedName>
    <definedName name="rgad" localSheetId="1" hidden="1">{"'Sheet1'!$L$16"}</definedName>
    <definedName name="rgad" localSheetId="0" hidden="1">{"'Sheet1'!$L$16"}</definedName>
    <definedName name="rgad" hidden="1">{"'Sheet1'!$L$16"}</definedName>
    <definedName name="rgdf" localSheetId="1" hidden="1">{"'Sheet1'!$L$16"}</definedName>
    <definedName name="rgdf" localSheetId="0" hidden="1">{"'Sheet1'!$L$16"}</definedName>
    <definedName name="rgdf" hidden="1">{"'Sheet1'!$L$16"}</definedName>
    <definedName name="rhtryte" localSheetId="3" hidden="1">#REF!</definedName>
    <definedName name="rhtryte" localSheetId="4" hidden="1">#REF!</definedName>
    <definedName name="rhtryte" hidden="1">#REF!</definedName>
    <definedName name="rj" localSheetId="1" hidden="1">{#N/A,#N/A,FALSE,"F.E-register";#N/A,#N/A,FALSE,"MV-register";#N/A,#N/A,FALSE,"Off.Eq-Resister";#N/A,#N/A,FALSE,"Off.F&amp;F.resister";#N/A,#N/A,FALSE,"CPT-resister";#N/A,#N/A,FALSE,"H Equip-resister"}</definedName>
    <definedName name="rj" localSheetId="0" hidden="1">{#N/A,#N/A,FALSE,"F.E-register";#N/A,#N/A,FALSE,"MV-register";#N/A,#N/A,FALSE,"Off.Eq-Resister";#N/A,#N/A,FALSE,"Off.F&amp;F.resister";#N/A,#N/A,FALSE,"CPT-resister";#N/A,#N/A,FALSE,"H Equip-resister"}</definedName>
    <definedName name="rj" hidden="1">{#N/A,#N/A,FALSE,"F.E-register";#N/A,#N/A,FALSE,"MV-register";#N/A,#N/A,FALSE,"Off.Eq-Resister";#N/A,#N/A,FALSE,"Off.F&amp;F.resister";#N/A,#N/A,FALSE,"CPT-resister";#N/A,#N/A,FALSE,"H Equip-resister"}</definedName>
    <definedName name="RPLA" localSheetId="1" hidden="1">{"'Sheet1'!$L$16"}</definedName>
    <definedName name="RPLA" localSheetId="0" hidden="1">{"'Sheet1'!$L$16"}</definedName>
    <definedName name="RPLA" hidden="1">{"'Sheet1'!$L$16"}</definedName>
    <definedName name="rqrer" localSheetId="3" hidden="1">#REF!</definedName>
    <definedName name="rqrer" localSheetId="4" hidden="1">#REF!</definedName>
    <definedName name="rqrer" localSheetId="0" hidden="1">#REF!</definedName>
    <definedName name="rqrer" hidden="1">#REF!</definedName>
    <definedName name="rrrrrrr" localSheetId="1" hidden="1">{"'Sheet1'!$L$16"}</definedName>
    <definedName name="rrrrrrr" localSheetId="0" hidden="1">{"'Sheet1'!$L$16"}</definedName>
    <definedName name="rrrrrrr" hidden="1">{"'Sheet1'!$L$16"}</definedName>
    <definedName name="rừd" localSheetId="3" hidden="1">#REF!</definedName>
    <definedName name="rừd" localSheetId="4" hidden="1">#REF!</definedName>
    <definedName name="rừd" localSheetId="0" hidden="1">#REF!</definedName>
    <definedName name="rừd" hidden="1">#REF!</definedName>
    <definedName name="sacxv" localSheetId="3" hidden="1">#REF!</definedName>
    <definedName name="sacxv" localSheetId="4" hidden="1">#REF!</definedName>
    <definedName name="sacxv" hidden="1">#REF!</definedName>
    <definedName name="SAPBEXrevision" hidden="1">1</definedName>
    <definedName name="SAPBEXsysID" hidden="1">"BW1"</definedName>
    <definedName name="SAPBEXwbID" hidden="1">"3QT0CSGPFJF5207Y4HB3WVBJY"</definedName>
    <definedName name="SCTX" localSheetId="1" hidden="1">{"'Sheet1'!$L$16"}</definedName>
    <definedName name="SCTX" localSheetId="0" hidden="1">{"'Sheet1'!$L$16"}</definedName>
    <definedName name="SCTX" hidden="1">{"'Sheet1'!$L$16"}</definedName>
    <definedName name="sdcsd" localSheetId="1" hidden="1">{"'Sheet1'!$L$16"}</definedName>
    <definedName name="sdcsd" localSheetId="0" hidden="1">{"'Sheet1'!$L$16"}</definedName>
    <definedName name="sdcsd" hidden="1">{"'Sheet1'!$L$16"}</definedName>
    <definedName name="sdf" localSheetId="1" hidden="1">{"'Sheet1'!$L$16"}</definedName>
    <definedName name="sdf" localSheetId="0" hidden="1">{"'Sheet1'!$L$16"}</definedName>
    <definedName name="sdf" hidden="1">{"'Sheet1'!$L$16"}</definedName>
    <definedName name="sdfdf" localSheetId="1" hidden="1">{#N/A,#N/A,TRUE,"rate";#N/A,#N/A,TRUE,"E1005CH";#N/A,#N/A,TRUE,"E2800CH";#N/A,#N/A,TRUE,"E8118CH";#N/A,#N/A,TRUE,"E8157CH";#N/A,#N/A,TRUE,"E8213CH";#N/A,#N/A,TRUE,"pursue"}</definedName>
    <definedName name="sdfdf" localSheetId="0" hidden="1">{#N/A,#N/A,TRUE,"rate";#N/A,#N/A,TRUE,"E1005CH";#N/A,#N/A,TRUE,"E2800CH";#N/A,#N/A,TRUE,"E8118CH";#N/A,#N/A,TRUE,"E8157CH";#N/A,#N/A,TRUE,"E8213CH";#N/A,#N/A,TRUE,"pursue"}</definedName>
    <definedName name="sdfdf" hidden="1">{#N/A,#N/A,TRUE,"rate";#N/A,#N/A,TRUE,"E1005CH";#N/A,#N/A,TRUE,"E2800CH";#N/A,#N/A,TRUE,"E8118CH";#N/A,#N/A,TRUE,"E8157CH";#N/A,#N/A,TRUE,"E8213CH";#N/A,#N/A,TRUE,"pursue"}</definedName>
    <definedName name="sdfsdfsd" localSheetId="1" hidden="1">{"'Sheet1'!$L$16"}</definedName>
    <definedName name="sdfsdfsd" localSheetId="0" hidden="1">{"'Sheet1'!$L$16"}</definedName>
    <definedName name="sdfsdfsd" hidden="1">{"'Sheet1'!$L$16"}</definedName>
    <definedName name="sdfwe" localSheetId="3" hidden="1">#REF!</definedName>
    <definedName name="sdfwe" localSheetId="4" hidden="1">#REF!</definedName>
    <definedName name="sdfwe" hidden="1">#REF!</definedName>
    <definedName name="sdlfj.xls" localSheetId="1" hidden="1">{"'Sheet1'!$L$16"}</definedName>
    <definedName name="sdlfj.xls" localSheetId="0" hidden="1">{"'Sheet1'!$L$16"}</definedName>
    <definedName name="sdlfj.xls" hidden="1">{"'Sheet1'!$L$16"}</definedName>
    <definedName name="sdvc" localSheetId="1" hidden="1">{#N/A,#N/A,FALSE,"Chi tiÆt"}</definedName>
    <definedName name="sdvc" localSheetId="0" hidden="1">{#N/A,#N/A,FALSE,"Chi tiÆt"}</definedName>
    <definedName name="sdvc" hidden="1">{#N/A,#N/A,FALSE,"Chi tiÆt"}</definedName>
    <definedName name="sedf" localSheetId="3" hidden="1">#REF!</definedName>
    <definedName name="sedf" localSheetId="4" hidden="1">#REF!</definedName>
    <definedName name="sedf" hidden="1">#REF!</definedName>
    <definedName name="sen" localSheetId="1" hidden="1">{"'Sheet1'!$L$16"}</definedName>
    <definedName name="sen" localSheetId="0" hidden="1">{"'Sheet1'!$L$16"}</definedName>
    <definedName name="sen" hidden="1">{"'Sheet1'!$L$16"}</definedName>
    <definedName name="senth" localSheetId="1" hidden="1">{#N/A,#N/A,FALSE,"F.E-register";#N/A,#N/A,FALSE,"MV-register";#N/A,#N/A,FALSE,"Off.Eq-Resister";#N/A,#N/A,FALSE,"Off.F&amp;F.resister";#N/A,#N/A,FALSE,"CPT-resister";#N/A,#N/A,FALSE,"H Equip-resister"}</definedName>
    <definedName name="senth" localSheetId="0" hidden="1">{#N/A,#N/A,FALSE,"F.E-register";#N/A,#N/A,FALSE,"MV-register";#N/A,#N/A,FALSE,"Off.Eq-Resister";#N/A,#N/A,FALSE,"Off.F&amp;F.resister";#N/A,#N/A,FALSE,"CPT-resister";#N/A,#N/A,FALSE,"H Equip-resister"}</definedName>
    <definedName name="senth" hidden="1">{#N/A,#N/A,FALSE,"F.E-register";#N/A,#N/A,FALSE,"MV-register";#N/A,#N/A,FALSE,"Off.Eq-Resister";#N/A,#N/A,FALSE,"Off.F&amp;F.resister";#N/A,#N/A,FALSE,"CPT-resister";#N/A,#N/A,FALSE,"H Equip-resister"}</definedName>
    <definedName name="sept" localSheetId="1" hidden="1">{#N/A,#N/A,TRUE,"rate";#N/A,#N/A,TRUE,"E1005CH";#N/A,#N/A,TRUE,"E2800CH";#N/A,#N/A,TRUE,"E8118CH";#N/A,#N/A,TRUE,"E8157CH";#N/A,#N/A,TRUE,"E8213CH";#N/A,#N/A,TRUE,"pursue"}</definedName>
    <definedName name="sept" localSheetId="0" hidden="1">{#N/A,#N/A,TRUE,"rate";#N/A,#N/A,TRUE,"E1005CH";#N/A,#N/A,TRUE,"E2800CH";#N/A,#N/A,TRUE,"E8118CH";#N/A,#N/A,TRUE,"E8157CH";#N/A,#N/A,TRUE,"E8213CH";#N/A,#N/A,TRUE,"pursue"}</definedName>
    <definedName name="sept" hidden="1">{#N/A,#N/A,TRUE,"rate";#N/A,#N/A,TRUE,"E1005CH";#N/A,#N/A,TRUE,"E2800CH";#N/A,#N/A,TRUE,"E8118CH";#N/A,#N/A,TRUE,"E8157CH";#N/A,#N/A,TRUE,"E8213CH";#N/A,#N/A,TRUE,"pursue"}</definedName>
    <definedName name="serdkson" localSheetId="1" hidden="1">{#N/A,#N/A,TRUE,"rate";#N/A,#N/A,TRUE,"E1005CH";#N/A,#N/A,TRUE,"E2800CH";#N/A,#N/A,TRUE,"E8118CH";#N/A,#N/A,TRUE,"E8157CH";#N/A,#N/A,TRUE,"E8213CH";#N/A,#N/A,TRUE,"pursue"}</definedName>
    <definedName name="serdkson" localSheetId="0" hidden="1">{#N/A,#N/A,TRUE,"rate";#N/A,#N/A,TRUE,"E1005CH";#N/A,#N/A,TRUE,"E2800CH";#N/A,#N/A,TRUE,"E8118CH";#N/A,#N/A,TRUE,"E8157CH";#N/A,#N/A,TRUE,"E8213CH";#N/A,#N/A,TRUE,"pursue"}</definedName>
    <definedName name="serdkson" hidden="1">{#N/A,#N/A,TRUE,"rate";#N/A,#N/A,TRUE,"E1005CH";#N/A,#N/A,TRUE,"E2800CH";#N/A,#N/A,TRUE,"E8118CH";#N/A,#N/A,TRUE,"E8157CH";#N/A,#N/A,TRUE,"E8213CH";#N/A,#N/A,TRUE,"pursue"}</definedName>
    <definedName name="shee12" localSheetId="1" hidden="1">{"'Sheet1'!$L$16"}</definedName>
    <definedName name="shee12" localSheetId="0" hidden="1">{"'Sheet1'!$L$16"}</definedName>
    <definedName name="shee12" hidden="1">{"'Sheet1'!$L$16"}</definedName>
    <definedName name="sheet" localSheetId="1" hidden="1">{"'Sheet1'!$L$16"}</definedName>
    <definedName name="sheet" localSheetId="0" hidden="1">{"'Sheet1'!$L$16"}</definedName>
    <definedName name="sheet" hidden="1">{"'Sheet1'!$L$16"}</definedName>
    <definedName name="sodu" localSheetId="1" hidden="1">{"'Sheet1'!$L$16"}</definedName>
    <definedName name="sodu" localSheetId="0" hidden="1">{"'Sheet1'!$L$16"}</definedName>
    <definedName name="sodu" hidden="1">{"'Sheet1'!$L$16"}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pecialPrice" localSheetId="3" hidden="1">#REF!</definedName>
    <definedName name="SpecialPrice" localSheetId="4" hidden="1">#REF!</definedName>
    <definedName name="SpecialPrice" localSheetId="0" hidden="1">#REF!</definedName>
    <definedName name="SpecialPrice" hidden="1">#REF!</definedName>
    <definedName name="sss" localSheetId="1" hidden="1">{"'Sheet1'!$L$16"}</definedName>
    <definedName name="sss" localSheetId="0" hidden="1">{"'Sheet1'!$L$16"}</definedName>
    <definedName name="sss" hidden="1">{"'Sheet1'!$L$16"}</definedName>
    <definedName name="tan" localSheetId="1" hidden="1">{"'Sheet1'!$L$16"}</definedName>
    <definedName name="tan" localSheetId="0" hidden="1">{"'Sheet1'!$L$16"}</definedName>
    <definedName name="tan" hidden="1">{"'Sheet1'!$L$16"}</definedName>
    <definedName name="tbl_ProdInfo" localSheetId="3" hidden="1">#REF!</definedName>
    <definedName name="tbl_ProdInfo" localSheetId="4" hidden="1">#REF!</definedName>
    <definedName name="tbl_ProdInfo" localSheetId="0" hidden="1">#REF!</definedName>
    <definedName name="tbl_ProdInfo" hidden="1">#REF!</definedName>
    <definedName name="Ten_CongTy_TieuDe_V" hidden="1">[5]Thong_tin!$D$9</definedName>
    <definedName name="Ten_CongTy_V" hidden="1">[6]Thong_tin!$D$8</definedName>
    <definedName name="Ten_PTTHop" hidden="1">[4]Thong_tin!$D$68</definedName>
    <definedName name="test" localSheetId="1" hidden="1">{"DCF","UPSIDE CASE",FALSE,"Sheet1";"DCF","BASE CASE",FALSE,"Sheet1";"DCF","DOWNSIDE CASE",FALSE,"Sheet1"}</definedName>
    <definedName name="test" localSheetId="0" hidden="1">{"DCF","UPSIDE CASE",FALSE,"Sheet1";"DCF","BASE CASE",FALSE,"Sheet1";"DCF","DOWNSIDE CASE",FALSE,"Sheet1"}</definedName>
    <definedName name="test" hidden="1">{"DCF","UPSIDE CASE",FALSE,"Sheet1";"DCF","BASE CASE",FALSE,"Sheet1";"DCF","DOWNSIDE CASE",FALSE,"Sheet1"}</definedName>
    <definedName name="TextRefCopyRangeCount" hidden="1">43</definedName>
    <definedName name="TI" localSheetId="3" hidden="1">#REF!</definedName>
    <definedName name="TI" localSheetId="4" hidden="1">#REF!</definedName>
    <definedName name="TI" hidden="1">#REF!</definedName>
    <definedName name="tlc" localSheetId="1" hidden="1">{"'Sheet1'!$L$16"}</definedName>
    <definedName name="tlc" localSheetId="0" hidden="1">{"'Sheet1'!$L$16"}</definedName>
    <definedName name="tlc" hidden="1">{"'Sheet1'!$L$16"}</definedName>
    <definedName name="TongHop_MaTK" hidden="1">[5]Tong_hop!$B$9:$B$471</definedName>
    <definedName name="tt" localSheetId="1" hidden="1">{"'Sheet1'!$L$16"}</definedName>
    <definedName name="tt" localSheetId="0" hidden="1">{"'Sheet1'!$L$16"}</definedName>
    <definedName name="tt" hidden="1">{"'Sheet1'!$L$16"}</definedName>
    <definedName name="tttttt" localSheetId="3" hidden="1">#REF!</definedName>
    <definedName name="tttttt" localSheetId="4" hidden="1">#REF!</definedName>
    <definedName name="tttttt" localSheetId="0" hidden="1">#REF!</definedName>
    <definedName name="tttttt" hidden="1">#REF!</definedName>
    <definedName name="tupu.xls" localSheetId="1" hidden="1">{"'Sheet1'!$L$16"}</definedName>
    <definedName name="tupu.xls" localSheetId="0" hidden="1">{"'Sheet1'!$L$16"}</definedName>
    <definedName name="tupu.xls" hidden="1">{"'Sheet1'!$L$16"}</definedName>
    <definedName name="tủtwe" localSheetId="3" hidden="1">#REF!</definedName>
    <definedName name="tủtwe" localSheetId="4" hidden="1">#REF!</definedName>
    <definedName name="tủtwe" hidden="1">#REF!</definedName>
    <definedName name="tuyet" localSheetId="1" hidden="1">{"'Sheet1'!$L$16"}</definedName>
    <definedName name="tuyet" localSheetId="0" hidden="1">{"'Sheet1'!$L$16"}</definedName>
    <definedName name="tuyet" hidden="1">{"'Sheet1'!$L$16"}</definedName>
    <definedName name="tv" localSheetId="1" hidden="1">{"'Sheet1'!$L$16"}</definedName>
    <definedName name="tv" localSheetId="0" hidden="1">{"'Sheet1'!$L$16"}</definedName>
    <definedName name="tv" hidden="1">{"'Sheet1'!$L$16"}</definedName>
    <definedName name="tyeyte" localSheetId="3" hidden="1">#REF!</definedName>
    <definedName name="tyeyte" localSheetId="4" hidden="1">#REF!</definedName>
    <definedName name="tyeyte" localSheetId="0" hidden="1">#REF!</definedName>
    <definedName name="tyeyte" hidden="1">#REF!</definedName>
    <definedName name="tymhm" localSheetId="3" hidden="1">#REF!</definedName>
    <definedName name="tymhm" localSheetId="4" hidden="1">#REF!</definedName>
    <definedName name="tymhm" localSheetId="0" hidden="1">#REF!</definedName>
    <definedName name="tymhm" hidden="1">#REF!</definedName>
    <definedName name="TH" localSheetId="1" hidden="1">{"'Sheet1'!$L$16"}</definedName>
    <definedName name="TH" localSheetId="0" hidden="1">{"'Sheet1'!$L$16"}</definedName>
    <definedName name="TH" hidden="1">{"'Sheet1'!$L$16"}</definedName>
    <definedName name="tha" localSheetId="1" hidden="1">{"'Sheet1'!$L$16"}</definedName>
    <definedName name="tha" localSheetId="0" hidden="1">{"'Sheet1'!$L$16"}</definedName>
    <definedName name="tha" hidden="1">{"'Sheet1'!$L$16"}</definedName>
    <definedName name="thang13" localSheetId="1" hidden="1">{"'Sheet1'!$L$16"}</definedName>
    <definedName name="thang13" localSheetId="0" hidden="1">{"'Sheet1'!$L$16"}</definedName>
    <definedName name="thang13" hidden="1">{"'Sheet1'!$L$16"}</definedName>
    <definedName name="THANH" localSheetId="1" hidden="1">{"'Sheet1'!$L$16"}</definedName>
    <definedName name="THANH" localSheetId="0" hidden="1">{"'Sheet1'!$L$16"}</definedName>
    <definedName name="THANH" hidden="1">{"'Sheet1'!$L$16"}</definedName>
    <definedName name="thanhthao" localSheetId="1" hidden="1">{#N/A,#N/A,FALSE,"Chi tiÆt"}</definedName>
    <definedName name="thanhthao" localSheetId="0" hidden="1">{#N/A,#N/A,FALSE,"Chi tiÆt"}</definedName>
    <definedName name="thanhthao" hidden="1">{#N/A,#N/A,FALSE,"Chi tiÆt"}</definedName>
    <definedName name="thh" localSheetId="1" hidden="1">{"'Sheet1'!$L$16"}</definedName>
    <definedName name="thh" localSheetId="0" hidden="1">{"'Sheet1'!$L$16"}</definedName>
    <definedName name="thh" hidden="1">{"'Sheet1'!$L$16"}</definedName>
    <definedName name="tht" localSheetId="1" hidden="1">{"'Sheet1'!$L$16"}</definedName>
    <definedName name="tht" localSheetId="0" hidden="1">{"'Sheet1'!$L$16"}</definedName>
    <definedName name="tht" hidden="1">{"'Sheet1'!$L$16"}</definedName>
    <definedName name="thu" localSheetId="1" hidden="1">{"'Sheet1'!$L$16"}</definedName>
    <definedName name="thu" localSheetId="0" hidden="1">{"'Sheet1'!$L$16"}</definedName>
    <definedName name="thu" hidden="1">{"'Sheet1'!$L$16"}</definedName>
    <definedName name="thuy" localSheetId="1" hidden="1">{"'Sheet1'!$L$16"}</definedName>
    <definedName name="thuy" localSheetId="0" hidden="1">{"'Sheet1'!$L$16"}</definedName>
    <definedName name="thuy" hidden="1">{"'Sheet1'!$L$16"}</definedName>
    <definedName name="UGVG" localSheetId="1" hidden="1">{#N/A,#N/A,TRUE,"BT M200 da 10x20"}</definedName>
    <definedName name="UGVG" localSheetId="0" hidden="1">{#N/A,#N/A,TRUE,"BT M200 da 10x20"}</definedName>
    <definedName name="UGVG" hidden="1">{#N/A,#N/A,TRUE,"BT M200 da 10x20"}</definedName>
    <definedName name="uiljkl" localSheetId="3" hidden="1">#REF!</definedName>
    <definedName name="uiljkl" localSheetId="4" hidden="1">#REF!</definedName>
    <definedName name="uiljkl" localSheetId="0" hidden="1">#REF!</definedName>
    <definedName name="uiljkl" hidden="1">#REF!</definedName>
    <definedName name="UL" localSheetId="1" hidden="1">{"'Sheet1'!$L$16"}</definedName>
    <definedName name="UL" localSheetId="0" hidden="1">{"'Sheet1'!$L$16"}</definedName>
    <definedName name="UL" hidden="1">{"'Sheet1'!$L$16"}</definedName>
    <definedName name="uuuuuuuut" localSheetId="3" hidden="1">#REF!</definedName>
    <definedName name="uuuuuuuut" localSheetId="4" hidden="1">#REF!</definedName>
    <definedName name="uuuuuuuut" localSheetId="0" hidden="1">#REF!</definedName>
    <definedName name="uuuuuuuut" hidden="1">#REF!</definedName>
    <definedName name="uuuuuuuy" localSheetId="1" hidden="1">{#N/A,#N/A,FALSE,"F.E-register";#N/A,#N/A,FALSE,"MV-register";#N/A,#N/A,FALSE,"Off.Eq-Resister";#N/A,#N/A,FALSE,"Off.F&amp;F.resister";#N/A,#N/A,FALSE,"CPT-resister";#N/A,#N/A,FALSE,"H Equip-resister"}</definedName>
    <definedName name="uuuuuuuy" localSheetId="0" hidden="1">{#N/A,#N/A,FALSE,"F.E-register";#N/A,#N/A,FALSE,"MV-register";#N/A,#N/A,FALSE,"Off.Eq-Resister";#N/A,#N/A,FALSE,"Off.F&amp;F.resister";#N/A,#N/A,FALSE,"CPT-resister";#N/A,#N/A,FALSE,"H Equip-resister"}</definedName>
    <definedName name="uuuuuuuy" hidden="1">{#N/A,#N/A,FALSE,"F.E-register";#N/A,#N/A,FALSE,"MV-register";#N/A,#N/A,FALSE,"Off.Eq-Resister";#N/A,#N/A,FALSE,"Off.F&amp;F.resister";#N/A,#N/A,FALSE,"CPT-resister";#N/A,#N/A,FALSE,"H Equip-resister"}</definedName>
    <definedName name="ưertwer" localSheetId="3" hidden="1">#REF!</definedName>
    <definedName name="ưertwer" localSheetId="4" hidden="1">#REF!</definedName>
    <definedName name="ưertwer" localSheetId="0" hidden="1">#REF!</definedName>
    <definedName name="ưertwer" hidden="1">#REF!</definedName>
    <definedName name="ưerwer" localSheetId="3" hidden="1">#REF!</definedName>
    <definedName name="ưerwer" localSheetId="4" hidden="1">#REF!</definedName>
    <definedName name="ưerwer" localSheetId="0" hidden="1">#REF!</definedName>
    <definedName name="ưerwer" hidden="1">#REF!</definedName>
    <definedName name="ưqsvfwejbq" localSheetId="3" hidden="1">#REF!</definedName>
    <definedName name="ưqsvfwejbq" localSheetId="4" hidden="1">#REF!</definedName>
    <definedName name="ưqsvfwejbq" localSheetId="0" hidden="1">#REF!</definedName>
    <definedName name="ưqsvfwejbq" hidden="1">#REF!</definedName>
    <definedName name="ửtgwet" localSheetId="3" hidden="1">#REF!</definedName>
    <definedName name="ửtgwet" localSheetId="4" hidden="1">#REF!</definedName>
    <definedName name="ửtgwet" localSheetId="0" hidden="1">#REF!</definedName>
    <definedName name="ửtgwet" hidden="1">#REF!</definedName>
    <definedName name="v" localSheetId="1" hidden="1">{"'Sheet1'!$L$16"}</definedName>
    <definedName name="v" localSheetId="0" hidden="1">{"'Sheet1'!$L$16"}</definedName>
    <definedName name="v" hidden="1">{"'Sheet1'!$L$16"}</definedName>
    <definedName name="vay" localSheetId="1" hidden="1">{"'Sheet1'!$L$16"}</definedName>
    <definedName name="vay" localSheetId="0" hidden="1">{"'Sheet1'!$L$16"}</definedName>
    <definedName name="vay" hidden="1">{"'Sheet1'!$L$16"}</definedName>
    <definedName name="vbadf" localSheetId="3" hidden="1">#REF!</definedName>
    <definedName name="vbadf" localSheetId="4" hidden="1">#REF!</definedName>
    <definedName name="vbadf" localSheetId="0" hidden="1">#REF!</definedName>
    <definedName name="vbadf" hidden="1">#REF!</definedName>
    <definedName name="vgho" localSheetId="1" hidden="1">{"'Sheet1'!$L$16"}</definedName>
    <definedName name="vgho" localSheetId="0" hidden="1">{"'Sheet1'!$L$16"}</definedName>
    <definedName name="vgho" hidden="1">{"'Sheet1'!$L$16"}</definedName>
    <definedName name="vi" localSheetId="1" hidden="1">{"'Sheet1'!$L$16"}</definedName>
    <definedName name="vi" localSheetId="0" hidden="1">{"'Sheet1'!$L$16"}</definedName>
    <definedName name="vi" hidden="1">{"'Sheet1'!$L$16"}</definedName>
    <definedName name="Viet" localSheetId="1" hidden="1">{"'Sheet1'!$L$16"}</definedName>
    <definedName name="Viet" localSheetId="0" hidden="1">{"'Sheet1'!$L$16"}</definedName>
    <definedName name="Viet" hidden="1">{"'Sheet1'!$L$16"}</definedName>
    <definedName name="vjkyku" localSheetId="3" hidden="1">#REF!</definedName>
    <definedName name="vjkyku" localSheetId="4" hidden="1">#REF!</definedName>
    <definedName name="vjkyku" hidden="1">#REF!</definedName>
    <definedName name="vnmnvm" localSheetId="3" hidden="1">#REF!</definedName>
    <definedName name="vnmnvm" localSheetId="4" hidden="1">#REF!</definedName>
    <definedName name="vnmnvm" localSheetId="0" hidden="1">#REF!</definedName>
    <definedName name="vnmnvm" hidden="1">#REF!</definedName>
    <definedName name="vnmvm" localSheetId="3" hidden="1">#REF!</definedName>
    <definedName name="vnmvm" localSheetId="4" hidden="1">#REF!</definedName>
    <definedName name="vnmvm" localSheetId="0" hidden="1">#REF!</definedName>
    <definedName name="vnmvm" hidden="1">#REF!</definedName>
    <definedName name="vnmvn" localSheetId="3" hidden="1">#REF!</definedName>
    <definedName name="vnmvn" localSheetId="4" hidden="1">#REF!</definedName>
    <definedName name="vnmvn" localSheetId="0" hidden="1">#REF!</definedName>
    <definedName name="vnmvn" hidden="1">#REF!</definedName>
    <definedName name="vnmvnm" localSheetId="3" hidden="1">#REF!</definedName>
    <definedName name="vnmvnm" localSheetId="4" hidden="1">#REF!</definedName>
    <definedName name="vnmvnm" localSheetId="0" hidden="1">#REF!</definedName>
    <definedName name="vnmvnm" hidden="1">#REF!</definedName>
    <definedName name="vnmvnmvnm" localSheetId="3" hidden="1">#REF!</definedName>
    <definedName name="vnmvnmvnm" localSheetId="4" hidden="1">#REF!</definedName>
    <definedName name="vnmvnmvnm" localSheetId="0" hidden="1">#REF!</definedName>
    <definedName name="vnmvnmvnm" hidden="1">#REF!</definedName>
    <definedName name="vvv" localSheetId="1" hidden="1">{"DCF","UPSIDE CASE",FALSE,"Sheet1";"DCF","BASE CASE",FALSE,"Sheet1";"DCF","DOWNSIDE CASE",FALSE,"Sheet1"}</definedName>
    <definedName name="vvv" localSheetId="0" hidden="1">{"DCF","UPSIDE CASE",FALSE,"Sheet1";"DCF","BASE CASE",FALSE,"Sheet1";"DCF","DOWNSIDE CASE",FALSE,"Sheet1"}</definedName>
    <definedName name="vvv" hidden="1">{"DCF","UPSIDE CASE",FALSE,"Sheet1";"DCF","BASE CASE",FALSE,"Sheet1";"DCF","DOWNSIDE CASE",FALSE,"Sheet1"}</definedName>
    <definedName name="wk" localSheetId="3" hidden="1">'[10]5사남'!#REF!</definedName>
    <definedName name="wk" localSheetId="4" hidden="1">'[10]5사남'!#REF!</definedName>
    <definedName name="wk" localSheetId="0" hidden="1">'[10]5사남'!#REF!</definedName>
    <definedName name="wk" hidden="1">'[10]5사남'!#REF!</definedName>
    <definedName name="wqfasf" localSheetId="3" hidden="1">#REF!</definedName>
    <definedName name="wqfasf" localSheetId="4" hidden="1">#REF!</definedName>
    <definedName name="wqfasf" localSheetId="0" hidden="1">#REF!</definedName>
    <definedName name="wqfasf" hidden="1">#REF!</definedName>
    <definedName name="wrn.2._.pagers." localSheetId="1" hidden="1">{"Cover",#N/A,FALSE,"Cover";"Summary",#N/A,FALSE,"Summarpage"}</definedName>
    <definedName name="wrn.2._.pagers." localSheetId="0" hidden="1">{"Cover",#N/A,FALSE,"Cover";"Summary",#N/A,FALSE,"Summarpage"}</definedName>
    <definedName name="wrn.2._.pagers." hidden="1">{"Cover",#N/A,FALSE,"Cover";"Summary",#N/A,FALSE,"Summarpage"}</definedName>
    <definedName name="wrn.ACCRUE._.PAYROLL." localSheetId="1" hidden="1">{"HK PR",#N/A,FALSE,"HK";"SUMMARY",#N/A,FALSE,"PAYROLL";"SUMMARY",#N/A,FALSE,"PAYROLL";"HK PR",#N/A,FALSE,"HK"}</definedName>
    <definedName name="wrn.ACCRUE._.PAYROLL." localSheetId="0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1" hidden="1">{"Acq_matrix",#N/A,FALSE,"Acquisition Matrix"}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CT1993." localSheetId="1" hidden="1">{"ACT1993",#N/A,FALSE,"CFLOW"}</definedName>
    <definedName name="wrn.ACT1993." localSheetId="0" hidden="1">{"ACT1993",#N/A,FALSE,"CFLOW"}</definedName>
    <definedName name="wrn.ACT1993." hidden="1">{"ACT1993",#N/A,FALSE,"CFLOW"}</definedName>
    <definedName name="wrn.ACT1994." localSheetId="1" hidden="1">{"ACT1994",#N/A,FALSE,"CFLOW"}</definedName>
    <definedName name="wrn.ACT1994." localSheetId="0" hidden="1">{"ACT1994",#N/A,FALSE,"CFLOW"}</definedName>
    <definedName name="wrn.ACT1994." hidden="1">{"ACT1994",#N/A,FALSE,"CFLOW"}</definedName>
    <definedName name="wrn.adj95." localSheetId="1" hidden="1">{"adj95mult",#N/A,FALSE,"COMPCO";"adj95est",#N/A,FALSE,"COMPCO"}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ll._.Pages.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_pages_PandL." localSheetId="1" hidden="1">{"page 1",#N/A,FALSE,"A";"page 2",#N/A,FALSE,"A";"page 3",#N/A,FALSE,"A";"page 4",#N/A,FALSE,"A";"page 5",#N/A,FALSE,"A"}</definedName>
    <definedName name="wrn.all_pages_PandL." localSheetId="0" hidden="1">{"page 1",#N/A,FALSE,"A";"page 2",#N/A,FALSE,"A";"page 3",#N/A,FALSE,"A";"page 4",#N/A,FALSE,"A";"page 5",#N/A,FALSE,"A"}</definedName>
    <definedName name="wrn.all_pages_PandL." hidden="1">{"page 1",#N/A,FALSE,"A";"page 2",#N/A,FALSE,"A";"page 3",#N/A,FALSE,"A";"page 4",#N/A,FALSE,"A";"page 5",#N/A,FALSE,"A"}</definedName>
    <definedName name="wrn.allpages." localSheetId="1" hidden="1">{#N/A,#N/A,TRUE,"Historicals";#N/A,#N/A,TRUE,"Charts";#N/A,#N/A,TRUE,"Forecasts"}</definedName>
    <definedName name="wrn.allpages." localSheetId="0" hidden="1">{#N/A,#N/A,TRUE,"Historicals";#N/A,#N/A,TRUE,"Charts";#N/A,#N/A,TRUE,"Forecasts"}</definedName>
    <definedName name="wrn.allpages." hidden="1">{#N/A,#N/A,TRUE,"Historicals";#N/A,#N/A,TRUE,"Charts";#N/A,#N/A,TRUE,"Forecasts"}</definedName>
    <definedName name="wrn.Annual._.Operating._.Earnings." localSheetId="1" hidden="1">{"Annual 1996",#N/A,FALSE,"Ann-Op (Mng)";"Annual 1996",#N/A,FALSE,"Ann-Op (Rep)";"Operating Vs. Reported Earnings",#N/A,FALSE,"Rpt-Op Inc"}</definedName>
    <definedName name="wrn.Annual._.Operating._.Earnings." localSheetId="0" hidden="1">{"Annual 1996",#N/A,FALSE,"Ann-Op (Mng)";"Annual 1996",#N/A,FALSE,"Ann-Op (Rep)";"Operating Vs. Reported Earnings",#N/A,FALSE,"Rpt-Op Inc"}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localSheetId="1" hidden="1">{"Annual 1996",#N/A,FALSE,"Ann-Op (Mng)";"Annual 1996",#N/A,FALSE,"Ann-Op (Rep)";"Operating Vs. Reported Earnings",#N/A,FALSE,"Rpt-Op Inc"}</definedName>
    <definedName name="wrn.Annual._.Operating._.Earnings1." localSheetId="0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OIL" localSheetId="1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AOIL" localSheetId="0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AOIL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AOIL." localSheetId="1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AOIL." localSheetId="0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AOIL.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AQUIROR._.DCF." localSheetId="1" hidden="1">{"AQUIRORDCF",#N/A,FALSE,"Merger consequences";"Acquirorassns",#N/A,FALSE,"Merger consequences"}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BAOCAO." localSheetId="1" hidden="1">{#N/A,#N/A,FALSE,"sum";#N/A,#N/A,FALSE,"MARTV";#N/A,#N/A,FALSE,"APRTV"}</definedName>
    <definedName name="wrn.BAOCAO." localSheetId="0" hidden="1">{#N/A,#N/A,FALSE,"sum";#N/A,#N/A,FALSE,"MARTV";#N/A,#N/A,FALSE,"APRTV"}</definedName>
    <definedName name="wrn.BAOCAO." hidden="1">{#N/A,#N/A,FALSE,"sum";#N/A,#N/A,FALSE,"MARTV";#N/A,#N/A,FALSE,"APRTV"}</definedName>
    <definedName name="wrn.budget." localSheetId="1" hidden="1">{#N/A,#N/A,FALSE,"P&amp;LVIETNAM";#N/A,#N/A,FALSE,"P&amp;L summary";#N/A,#N/A,FALSE,"Treasury";#N/A,#N/A,FALSE,"CB";#N/A,#N/A,FALSE,"CEO ";#N/A,#N/A,FALSE,"IBG";#N/A,#N/A,FALSE,"FIN";#N/A,#N/A,FALSE,"BS97"}</definedName>
    <definedName name="wrn.budget." localSheetId="0" hidden="1">{#N/A,#N/A,FALSE,"P&amp;LVIETNAM";#N/A,#N/A,FALSE,"P&amp;L summary";#N/A,#N/A,FALSE,"Treasury";#N/A,#N/A,FALSE,"CB";#N/A,#N/A,FALSE,"CEO ";#N/A,#N/A,FALSE,"IBG";#N/A,#N/A,FALSE,"FIN";#N/A,#N/A,FALSE,"BS97"}</definedName>
    <definedName name="wrn.budget." hidden="1">{#N/A,#N/A,FALSE,"P&amp;LVIETNAM";#N/A,#N/A,FALSE,"P&amp;L summary";#N/A,#N/A,FALSE,"Treasury";#N/A,#N/A,FALSE,"CB";#N/A,#N/A,FALSE,"CEO ";#N/A,#N/A,FALSE,"IBG";#N/A,#N/A,FALSE,"FIN";#N/A,#N/A,FALSE,"BS97"}</definedName>
    <definedName name="wrn.CBTREFIN." localSheetId="1" hidden="1">{#N/A,#N/A,FALSE,"Corp. Banking";#N/A,#N/A,FALSE,"Corp.bk";#N/A,#N/A,FALSE,"Treasury-SEG";#N/A,#N/A,FALSE,"Treasury";#N/A,#N/A,FALSE,"finance";#N/A,#N/A,FALSE,"Fin"}</definedName>
    <definedName name="wrn.CBTREFIN." localSheetId="0" hidden="1">{#N/A,#N/A,FALSE,"Corp. Banking";#N/A,#N/A,FALSE,"Corp.bk";#N/A,#N/A,FALSE,"Treasury-SEG";#N/A,#N/A,FALSE,"Treasury";#N/A,#N/A,FALSE,"finance";#N/A,#N/A,FALSE,"Fin"}</definedName>
    <definedName name="wrn.CBTREFIN." hidden="1">{#N/A,#N/A,FALSE,"Corp. Banking";#N/A,#N/A,FALSE,"Corp.bk";#N/A,#N/A,FALSE,"Treasury-SEG";#N/A,#N/A,FALSE,"Treasury";#N/A,#N/A,FALSE,"finance";#N/A,#N/A,FALSE,"Fin"}</definedName>
    <definedName name="wrn.CCCBALANCE." localSheetId="1" hidden="1">{"CCCBALANCE",#N/A,FALSE,"FFLOW"}</definedName>
    <definedName name="wrn.CCCBALANCE." localSheetId="0" hidden="1">{"CCCBALANCE",#N/A,FALSE,"FFLOW"}</definedName>
    <definedName name="wrn.CCCBALANCE." hidden="1">{"CCCBALANCE",#N/A,FALSE,"FFLOW"}</definedName>
    <definedName name="wrn.cellular." localSheetId="1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ellular." localSheetId="0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ellular.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Fvar." localSheetId="1" hidden="1">{#N/A,#N/A,FALSE,"CFLOW"}</definedName>
    <definedName name="wrn.CFvar." localSheetId="0" hidden="1">{#N/A,#N/A,FALSE,"CFLOW"}</definedName>
    <definedName name="wrn.CFvar." hidden="1">{#N/A,#N/A,FALSE,"CFLOW"}</definedName>
    <definedName name="wrn.compco." localSheetId="1" hidden="1">{"mult96",#N/A,FALSE,"PETCOMP";"est96",#N/A,FALSE,"PETCOMP";"mult95",#N/A,FALSE,"PETCOMP";"est95",#N/A,FALSE,"PETCOMP";"multltm",#N/A,FALSE,"PETCOMP";"resultltm",#N/A,FALSE,"PETCOMP"}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hi._." localSheetId="1" hidden="1">{#N/A,#N/A,FALSE,"Chi tiÆt"}</definedName>
    <definedName name="wrn.chi._." localSheetId="0" hidden="1">{#N/A,#N/A,FALSE,"Chi tiÆt"}</definedName>
    <definedName name="wrn.chi._.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DCF_Terminal_Value_qchm." localSheetId="1" hidden="1">{"qchm_dcf",#N/A,FALSE,"QCHMDCF2";"qchm_terminal",#N/A,FALSE,"QCHMDCF2"}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isburment94v93CM." localSheetId="1" hidden="1">{"Disbursment94v93CM",#N/A,FALSE,"CONTROL"}</definedName>
    <definedName name="wrn.Disburment94v93CM." localSheetId="0" hidden="1">{"Disbursment94v93CM",#N/A,FALSE,"CONTROL"}</definedName>
    <definedName name="wrn.Disburment94v93CM." hidden="1">{"Disbursment94v93CM",#N/A,FALSE,"CONTROL"}</definedName>
    <definedName name="wrn.Economic._.Value._.Added._.Analysis." localSheetId="1" hidden="1">{"EVA",#N/A,FALSE,"EVA";"WACC",#N/A,FALSE,"WACC"}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O." localSheetId="1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O." localSheetId="0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O.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FFLOW." localSheetId="1" hidden="1">{#N/A,#N/A,FALSE,"FFLOW"}</definedName>
    <definedName name="wrn.FFLOW." localSheetId="0" hidden="1">{#N/A,#N/A,FALSE,"FFLOW"}</definedName>
    <definedName name="wrn.FFLOW." hidden="1">{#N/A,#N/A,FALSE,"FFLOW"}</definedName>
    <definedName name="wrn.fflow2." localSheetId="1" hidden="1">{#N/A,#N/A,FALSE,"FFLOW"}</definedName>
    <definedName name="wrn.fflow2." localSheetId="0" hidden="1">{#N/A,#N/A,FALSE,"FFLOW"}</definedName>
    <definedName name="wrn.fflow2." hidden="1">{#N/A,#N/A,FALSE,"FFLOW"}</definedName>
    <definedName name="wrn.FINANCE." localSheetId="1" hidden="1">{#N/A,#N/A,FALSE,"Fin.Results";#N/A,#N/A,FALSE,"CONSOL";#N/A,#N/A,FALSE,"MGT RESULTS";#N/A,#N/A,FALSE,"Sheet3"}</definedName>
    <definedName name="wrn.FINANCE." localSheetId="0" hidden="1">{#N/A,#N/A,FALSE,"Fin.Results";#N/A,#N/A,FALSE,"CONSOL";#N/A,#N/A,FALSE,"MGT RESULTS";#N/A,#N/A,FALSE,"Sheet3"}</definedName>
    <definedName name="wrn.FINANCE." hidden="1">{#N/A,#N/A,FALSE,"Fin.Results";#N/A,#N/A,FALSE,"CONSOL";#N/A,#N/A,FALSE,"MGT RESULTS";#N/A,#N/A,FALSE,"Sheet3"}</definedName>
    <definedName name="wrn.financial._.result." localSheetId="1" hidden="1">{#N/A,#N/A,FALSE,"Sheet3";#N/A,#N/A,FALSE,"Fin.Results";#N/A,#N/A,FALSE,"CONSOL";#N/A,#N/A,FALSE,"MGT RESULTS"}</definedName>
    <definedName name="wrn.financial._.result." localSheetId="0" hidden="1">{#N/A,#N/A,FALSE,"Sheet3";#N/A,#N/A,FALSE,"Fin.Results";#N/A,#N/A,FALSE,"CONSOL";#N/A,#N/A,FALSE,"MGT RESULTS"}</definedName>
    <definedName name="wrn.financial._.result." hidden="1">{#N/A,#N/A,FALSE,"Sheet3";#N/A,#N/A,FALSE,"Fin.Results";#N/A,#N/A,FALSE,"CONSOL";#N/A,#N/A,FALSE,"MGT RESULTS"}</definedName>
    <definedName name="wrn.FIXED._.ASSETS._.REGISTER." localSheetId="1" hidden="1">{#N/A,#N/A,FALSE,"F.E-register";#N/A,#N/A,FALSE,"MV-register";#N/A,#N/A,FALSE,"Off.Eq-Resister";#N/A,#N/A,FALSE,"Off.F&amp;F.resister";#N/A,#N/A,FALSE,"CPT-resister";#N/A,#N/A,FALSE,"H Equip-resister"}</definedName>
    <definedName name="wrn.FIXED._.ASSETS._.REGISTER." localSheetId="0" hidden="1">{#N/A,#N/A,FALSE,"F.E-register";#N/A,#N/A,FALSE,"MV-register";#N/A,#N/A,FALSE,"Off.Eq-Resister";#N/A,#N/A,FALSE,"Off.F&amp;F.resister";#N/A,#N/A,FALSE,"CPT-resister";#N/A,#N/A,FALSE,"H Equip-resister"}</definedName>
    <definedName name="wrn.FIXED._.ASSETS._.REGISTER." hidden="1">{#N/A,#N/A,FALSE,"F.E-register";#N/A,#N/A,FALSE,"MV-register";#N/A,#N/A,FALSE,"Off.Eq-Resister";#N/A,#N/A,FALSE,"Off.F&amp;F.resister";#N/A,#N/A,FALSE,"CPT-resister";#N/A,#N/A,FALSE,"H Equip-resister"}</definedName>
    <definedName name="wrn.flow95." localSheetId="1" hidden="1">{#N/A,#N/A,FALSE,"FLOW12"}</definedName>
    <definedName name="wrn.flow95." localSheetId="0" hidden="1">{#N/A,#N/A,FALSE,"FLOW12"}</definedName>
    <definedName name="wrn.flow95." hidden="1">{#N/A,#N/A,FALSE,"FLOW12"}</definedName>
    <definedName name="wrn.Forecast._.Q1." localSheetId="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localSheetId="0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0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0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1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0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0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0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ull." localSheetId="1" hidden="1">{#N/A,#N/A,FALSE,"Income Statement";#N/A,#N/A,FALSE,"Balance Sheet";#N/A,#N/A,FALSE,"Cash Flow";#N/A,#N/A,FALSE,"D&amp;A";#N/A,#N/A,FALSE,"Capitalization";#N/A,#N/A,FALSE,"Debt Amortization";#N/A,#N/A,FALSE,"Deferred Taxes"}</definedName>
    <definedName name="wrn.full." localSheetId="0" hidden="1">{#N/A,#N/A,FALSE,"Income Statement";#N/A,#N/A,FALSE,"Balance Sheet";#N/A,#N/A,FALSE,"Cash Flow";#N/A,#N/A,FALSE,"D&amp;A";#N/A,#N/A,FALSE,"Capitalization";#N/A,#N/A,FALSE,"Debt Amortization";#N/A,#N/A,FALSE,"Deferred Taxes"}</definedName>
    <definedName name="wrn.full." hidden="1">{#N/A,#N/A,FALSE,"Income Statement";#N/A,#N/A,FALSE,"Balance Sheet";#N/A,#N/A,FALSE,"Cash Flow";#N/A,#N/A,FALSE,"D&amp;A";#N/A,#N/A,FALSE,"Capitalization";#N/A,#N/A,FALSE,"Debt Amortization";#N/A,#N/A,FALSE,"Deferred Taxes"}</definedName>
    <definedName name="wrn.Full._.Report." localSheetId="1" hidden="1">{#N/A,#N/A,FALSE,"COVER";#N/A,#N/A,FALSE,"VALUATION";#N/A,#N/A,FALSE,"FORECAST";#N/A,#N/A,FALSE,"FY ANALYSIS ";#N/A,#N/A,FALSE," HY ANALYSIS"}</definedName>
    <definedName name="wrn.Full._.Report." localSheetId="0" hidden="1">{#N/A,#N/A,FALSE,"COVER";#N/A,#N/A,FALSE,"VALUATION";#N/A,#N/A,FALSE,"FORECAST";#N/A,#N/A,FALSE,"FY ANALYSIS ";#N/A,#N/A,FALSE," HY ANALYSIS"}</definedName>
    <definedName name="wrn.Full._.Report." hidden="1">{#N/A,#N/A,FALSE,"COVER";#N/A,#N/A,FALSE,"VALUATION";#N/A,#N/A,FALSE,"FORECAST";#N/A,#N/A,FALSE,"FY ANALYSIS ";#N/A,#N/A,FALSE," HY ANALYSIS"}</definedName>
    <definedName name="wrn.Global._.CompCo." localSheetId="1" hidden="1">{"Outputs",#N/A,TRUE,"North America";"Outputs",#N/A,TRUE,"Europe";"Outputs",#N/A,TRUE,"Asia Pacific";"Outputs",#N/A,TRUE,"Latin America";"Outputs",#N/A,TRUE,"Wireless"}</definedName>
    <definedName name="wrn.Global._.CompCo." localSheetId="0" hidden="1">{"Outputs",#N/A,TRUE,"North America";"Outputs",#N/A,TRUE,"Europe";"Outputs",#N/A,TRUE,"Asia Pacific";"Outputs",#N/A,TRUE,"Latin America";"Outputs",#N/A,TRUE,"Wireless"}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hanh." localSheetId="1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wrn.hanh." localSheetId="0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wrn.hanh.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wrn.Industry.xls." localSheetId="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localSheetId="0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puts." localSheetId="1" hidden="1">{"Inputs",#N/A,TRUE,"North America";"Inputs",#N/A,TRUE,"Europe";"Inputs",#N/A,TRUE,"Asia Pacific";"Inputs",#N/A,TRUE,"Latin America";"Inputs",#N/A,TRUE,"Wireless"}</definedName>
    <definedName name="wrn.Inputs." localSheetId="0" hidden="1">{"Inputs",#N/A,TRUE,"North America";"Inputs",#N/A,TRUE,"Europe";"Inputs",#N/A,TRUE,"Asia Pacific";"Inputs",#N/A,TRUE,"Latin America";"Inputs",#N/A,TRUE,"Wireless"}</definedName>
    <definedName name="wrn.Inputs." hidden="1">{"Inputs",#N/A,TRUE,"North America";"Inputs",#N/A,TRUE,"Europe";"Inputs",#N/A,TRUE,"Asia Pacific";"Inputs",#N/A,TRUE,"Latin America";"Inputs",#N/A,TRUE,"Wireless"}</definedName>
    <definedName name="wrn.management." localSheetId="1" hidden="1">{#N/A,#N/A,FALSE,"Corp.bk";#N/A,#N/A,FALSE,"Corp. Banking";#N/A,#N/A,FALSE,"CEO";#N/A,#N/A,FALSE,"Treasury";#N/A,#N/A,FALSE,"Treasury-SEG";#N/A,#N/A,FALSE,"Fin";#N/A,#N/A,FALSE,"finance";#N/A,#N/A,FALSE,"IBG";#N/A,#N/A,FALSE,"IBG-SEG";#N/A,#N/A,FALSE,"IT";#N/A,#N/A,FALSE,"operation VN";#N/A,#N/A,FALSE,"CUST. SERV VN";#N/A,#N/A,FALSE,"VNSEG";#N/A,#N/A,FALSE,"VNSEG YTD"}</definedName>
    <definedName name="wrn.management." localSheetId="0" hidden="1">{#N/A,#N/A,FALSE,"Corp.bk";#N/A,#N/A,FALSE,"Corp. Banking";#N/A,#N/A,FALSE,"CEO";#N/A,#N/A,FALSE,"Treasury";#N/A,#N/A,FALSE,"Treasury-SEG";#N/A,#N/A,FALSE,"Fin";#N/A,#N/A,FALSE,"finance";#N/A,#N/A,FALSE,"IBG";#N/A,#N/A,FALSE,"IBG-SEG";#N/A,#N/A,FALSE,"IT";#N/A,#N/A,FALSE,"operation VN";#N/A,#N/A,FALSE,"CUST. SERV VN";#N/A,#N/A,FALSE,"VNSEG";#N/A,#N/A,FALSE,"VNSEG YTD"}</definedName>
    <definedName name="wrn.management." hidden="1">{#N/A,#N/A,FALSE,"Corp.bk";#N/A,#N/A,FALSE,"Corp. Banking";#N/A,#N/A,FALSE,"CEO";#N/A,#N/A,FALSE,"Treasury";#N/A,#N/A,FALSE,"Treasury-SEG";#N/A,#N/A,FALSE,"Fin";#N/A,#N/A,FALSE,"finance";#N/A,#N/A,FALSE,"IBG";#N/A,#N/A,FALSE,"IBG-SEG";#N/A,#N/A,FALSE,"IT";#N/A,#N/A,FALSE,"operation VN";#N/A,#N/A,FALSE,"CUST. SERV VN";#N/A,#N/A,FALSE,"VNSEG";#N/A,#N/A,FALSE,"VNSEG YTD"}</definedName>
    <definedName name="wrn.monthly." localSheetId="1" hidden="1">{#N/A,#N/A,TRUE,"BalanceSheet";#N/A,#N/A,TRUE,"journal";#N/A,#N/A,TRUE,"hanoi acc";#N/A,#N/A,TRUE,"P&amp;L"}</definedName>
    <definedName name="wrn.monthly." localSheetId="0" hidden="1">{#N/A,#N/A,TRUE,"BalanceSheet";#N/A,#N/A,TRUE,"journal";#N/A,#N/A,TRUE,"hanoi acc";#N/A,#N/A,TRUE,"P&amp;L"}</definedName>
    <definedName name="wrn.monthly." hidden="1">{#N/A,#N/A,TRUE,"BalanceSheet";#N/A,#N/A,TRUE,"journal";#N/A,#N/A,TRUE,"hanoi acc";#N/A,#N/A,TRUE,"P&amp;L"}</definedName>
    <definedName name="wrn.Monthly._.Statement." localSheetId="1" hidden="1">{#N/A,#N/A,FALSE,"Tabelle2";#N/A,#N/A,FALSE,"Tabelle1"}</definedName>
    <definedName name="wrn.Monthly._.Statement." localSheetId="0" hidden="1">{#N/A,#N/A,FALSE,"Tabelle2";#N/A,#N/A,FALSE,"Tabelle1"}</definedName>
    <definedName name="wrn.Monthly._.Statement." hidden="1">{#N/A,#N/A,FALSE,"Tabelle2";#N/A,#N/A,FALSE,"Tabelle1"}</definedName>
    <definedName name="wrn.OP1994." localSheetId="1" hidden="1">{"OP1994",#N/A,FALSE,"CFLOW"}</definedName>
    <definedName name="wrn.OP1994." localSheetId="0" hidden="1">{"OP1994",#N/A,FALSE,"CFLOW"}</definedName>
    <definedName name="wrn.OP1994." hidden="1">{"OP1994",#N/A,FALSE,"CFLOW"}</definedName>
    <definedName name="wrn.OUTPUT." localSheetId="1" hidden="1">{"DCF","UPSIDE CASE",FALSE,"Sheet1";"DCF","BASE CASE",FALSE,"Sheet1";"DCF","DOWNSIDE CASE",FALSE,"Sheet1"}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aging." localSheetId="1" hidden="1">{"paging",#N/A,TRUE,"TITLE";#N/A,#N/A,TRUE,"Paging subs";#N/A,#N/A,TRUE,"P&amp;L - Paging";#N/A,#N/A,TRUE,"Rev &amp; Usage Assump - Paging";#N/A,#N/A,TRUE,"Cost - Paging";"paging",#N/A,TRUE,"Capex "}</definedName>
    <definedName name="wrn.paging." localSheetId="0" hidden="1">{"paging",#N/A,TRUE,"TITLE";#N/A,#N/A,TRUE,"Paging subs";#N/A,#N/A,TRUE,"P&amp;L - Paging";#N/A,#N/A,TRUE,"Rev &amp; Usage Assump - Paging";#N/A,#N/A,TRUE,"Cost - Paging";"paging",#N/A,TRUE,"Capex "}</definedName>
    <definedName name="wrn.paging." hidden="1">{"paging",#N/A,TRUE,"TITLE";#N/A,#N/A,TRUE,"Paging subs";#N/A,#N/A,TRUE,"P&amp;L - Paging";#N/A,#N/A,TRUE,"Rev &amp; Usage Assump - Paging";#N/A,#N/A,TRUE,"Cost - Paging";"paging",#N/A,TRUE,"Capex "}</definedName>
    <definedName name="wrn.PEWC1." localSheetId="1" hidden="1">{"Graphic",#N/A,TRUE,"Graphic"}</definedName>
    <definedName name="wrn.PEWC1." localSheetId="0" hidden="1">{"Graphic",#N/A,TRUE,"Graphic"}</definedName>
    <definedName name="wrn.PEWC1." hidden="1">{"Graphic",#N/A,TRUE,"Graphic"}</definedName>
    <definedName name="wrn.Print._.all." localSheetId="1" hidden="1">{#N/A,#N/A,FALSE,"DCF";#N/A,#N/A,FALSE,"P&amp;L";#N/A,#N/A,FALSE,"BS";#N/A,#N/A,FALSE,"CF";#N/A,#N/A,FALSE,"debt schedule";#N/A,#N/A,FALSE,"WorkCap";#N/A,#N/A,FALSE,"ETACS";#N/A,#N/A,FALSE,"GSM";#N/A,#N/A,FALSE,"LEC";#N/A,#N/A,FALSE,"IGF";#N/A,#N/A,FALSE,"Expenses";#N/A,#N/A,FALSE,"Labour Expenses";#N/A,#N/A,FALSE,"Capex&amp;Depn";#N/A,#N/A,FALSE,"Fixed assets";#N/A,#N/A,FALSE,"WACC_Fixed";#N/A,#N/A,FALSE,"WACC_Cel"}</definedName>
    <definedName name="wrn.Print._.all." localSheetId="0" hidden="1">{#N/A,#N/A,FALSE,"DCF";#N/A,#N/A,FALSE,"P&amp;L";#N/A,#N/A,FALSE,"BS";#N/A,#N/A,FALSE,"CF";#N/A,#N/A,FALSE,"debt schedule";#N/A,#N/A,FALSE,"WorkCap";#N/A,#N/A,FALSE,"ETACS";#N/A,#N/A,FALSE,"GSM";#N/A,#N/A,FALSE,"LEC";#N/A,#N/A,FALSE,"IGF";#N/A,#N/A,FALSE,"Expenses";#N/A,#N/A,FALSE,"Labour Expenses";#N/A,#N/A,FALSE,"Capex&amp;Depn";#N/A,#N/A,FALSE,"Fixed assets";#N/A,#N/A,FALSE,"WACC_Fixed";#N/A,#N/A,FALSE,"WACC_Cel"}</definedName>
    <definedName name="wrn.Print._.all." hidden="1">{#N/A,#N/A,FALSE,"DCF";#N/A,#N/A,FALSE,"P&amp;L";#N/A,#N/A,FALSE,"BS";#N/A,#N/A,FALSE,"CF";#N/A,#N/A,FALSE,"debt schedule";#N/A,#N/A,FALSE,"WorkCap";#N/A,#N/A,FALSE,"ETACS";#N/A,#N/A,FALSE,"GSM";#N/A,#N/A,FALSE,"LEC";#N/A,#N/A,FALSE,"IGF";#N/A,#N/A,FALSE,"Expenses";#N/A,#N/A,FALSE,"Labour Expenses";#N/A,#N/A,FALSE,"Capex&amp;Depn";#N/A,#N/A,FALSE,"Fixed assets";#N/A,#N/A,FALSE,"WACC_Fixed";#N/A,#N/A,FALSE,"WACC_Cel"}</definedName>
    <definedName name="wrn.Print._.Plots." localSheetId="1" hidden="1">{"Plot1",#N/A,FALSE,"Plots";"plot2",#N/A,FALSE,"Plots";"plot3",#N/A,FALSE,"Plots";"plot4",#N/A,FALSE,"Plots";"plot5",#N/A,FALSE,"Plots";"plot6",#N/A,FALSE,"Plots"}</definedName>
    <definedName name="wrn.Print._.Plots." localSheetId="0" hidden="1">{"Plot1",#N/A,FALSE,"Plots";"plot2",#N/A,FALSE,"Plots";"plot3",#N/A,FALSE,"Plots";"plot4",#N/A,FALSE,"Plots";"plot5",#N/A,FALSE,"Plots";"plot6",#N/A,FALSE,"Plots"}</definedName>
    <definedName name="wrn.Print._.Plots." hidden="1">{"Plot1",#N/A,FALSE,"Plots";"plot2",#N/A,FALSE,"Plots";"plot3",#N/A,FALSE,"Plots";"plot4",#N/A,FALSE,"Plots";"plot5",#N/A,FALSE,"Plots";"plot6",#N/A,FALSE,"Plots"}</definedName>
    <definedName name="wrn.product._.cost." localSheetId="1" hidden="1">{#N/A,#N/A,TRUE,"rate";#N/A,#N/A,TRUE,"E1005CH";#N/A,#N/A,TRUE,"E2800CH";#N/A,#N/A,TRUE,"E8118CH";#N/A,#N/A,TRUE,"E8157CH";#N/A,#N/A,TRUE,"E8213CH";#N/A,#N/A,TRUE,"pursue"}</definedName>
    <definedName name="wrn.product._.cost." localSheetId="0" hidden="1">{#N/A,#N/A,TRUE,"rate";#N/A,#N/A,TRUE,"E1005CH";#N/A,#N/A,TRUE,"E2800CH";#N/A,#N/A,TRUE,"E8118CH";#N/A,#N/A,TRUE,"E8157CH";#N/A,#N/A,TRUE,"E8213CH";#N/A,#N/A,TRUE,"pursue"}</definedName>
    <definedName name="wrn.product._.cost." hidden="1">{#N/A,#N/A,TRUE,"rate";#N/A,#N/A,TRUE,"E1005CH";#N/A,#N/A,TRUE,"E2800CH";#N/A,#N/A,TRUE,"E8118CH";#N/A,#N/A,TRUE,"E8157CH";#N/A,#N/A,TRUE,"E8213CH";#N/A,#N/A,TRUE,"pursue"}</definedName>
    <definedName name="wrn.Pulp." localSheetId="1" hidden="1">{"Pulp Production",#N/A,FALSE,"Pulp";"Pulp Earnings",#N/A,FALSE,"Pulp"}</definedName>
    <definedName name="wrn.Pulp." localSheetId="0" hidden="1">{"Pulp Production",#N/A,FALSE,"Pulp";"Pulp Earnings",#N/A,FALSE,"Pulp"}</definedName>
    <definedName name="wrn.Pulp." hidden="1">{"Pulp Production",#N/A,FALSE,"Pulp";"Pulp Earnings",#N/A,FALSE,"Pulp"}</definedName>
    <definedName name="wrn.Qtr._.Op._.Q1." localSheetId="1" hidden="1">{"Qtr Op Mgd Q1",#N/A,FALSE,"Qtr-Op (Mng)";"Qtr Op Rpt Q1",#N/A,FALSE,"Qtr-Op (Rpt)";"Operating Vs Reported",#N/A,FALSE,"Rpt-Op Inc"}</definedName>
    <definedName name="wrn.Qtr._.Op._.Q1." localSheetId="0" hidden="1">{"Qtr Op Mgd Q1",#N/A,FALSE,"Qtr-Op (Mng)";"Qtr Op Rpt Q1",#N/A,FALSE,"Qtr-Op (Rpt)";"Operating Vs Reported",#N/A,FALSE,"Rpt-Op Inc"}</definedName>
    <definedName name="wrn.Qtr._.Op._.Q1." hidden="1">{"Qtr Op Mgd Q1",#N/A,FALSE,"Qtr-Op (Mng)";"Qtr Op Rpt Q1",#N/A,FALSE,"Qtr-Op (Rpt)";"Operating Vs Reported",#N/A,FALSE,"Rpt-Op Inc"}</definedName>
    <definedName name="wrn.Qtr._.Op._.Q2." localSheetId="1" hidden="1">{"Qtr Op Mgd Q2",#N/A,FALSE,"Qtr-Op (Mng)";"Qtr Op Rpt Q2",#N/A,FALSE,"Qtr-Op (Rpt)";"Operating Vs Reported",#N/A,FALSE,"Rpt-Op Inc"}</definedName>
    <definedName name="wrn.Qtr._.Op._.Q2." localSheetId="0" hidden="1">{"Qtr Op Mgd Q2",#N/A,FALSE,"Qtr-Op (Mng)";"Qtr Op Rpt Q2",#N/A,FALSE,"Qtr-Op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localSheetId="1" hidden="1">{"Qtr Op Mgd Q3",#N/A,FALSE,"Qtr-Op (Mng)";"Qtr Op Rpt Q3",#N/A,FALSE,"Qtr-Op (Rpt)";"Operating Vs Reported",#N/A,FALSE,"Rpt-Op Inc"}</definedName>
    <definedName name="wrn.Qtr._.Op._.Q3." localSheetId="0" hidden="1">{"Qtr Op Mgd Q3",#N/A,FALSE,"Qtr-Op (Mng)";"Qtr Op Rpt Q3",#N/A,FALSE,"Qtr-Op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localSheetId="1" hidden="1">{"Qtr Op Mgd Q3",#N/A,FALSE,"Qtr-Op (Mng)";"Qtr Op Rpt Q4",#N/A,FALSE,"Qtr-Op (Rpt)";"Operating Vs Reported",#N/A,FALSE,"Rpt-Op Inc"}</definedName>
    <definedName name="wrn.Qtr._.Op._.Q4." localSheetId="0" hidden="1">{"Qtr Op Mgd Q3",#N/A,FALSE,"Qtr-Op (Mng)";"Qtr Op Rpt Q4",#N/A,FALSE,"Qtr-Op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localSheetId="1" hidden="1">{"Qtr Op Mgd Q2",#N/A,FALSE,"Qtr-Op (Mng)";"Qtr Op Rpt Q2",#N/A,FALSE,"Qtr-Op (Rpt)";"Operating Vs Reported",#N/A,FALSE,"Rpt-Op Inc"}</definedName>
    <definedName name="wrn.Qtr._.Op._Q2a." localSheetId="0" hidden="1">{"Qtr Op Mgd Q2",#N/A,FALSE,"Qtr-Op (Mng)";"Qtr Op Rpt Q2",#N/A,FALSE,"Qtr-Op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_.Op._.Q4." localSheetId="1" hidden="1">{"Qtr Op Mgd Q3",#N/A,FALSE,"Qtr-Op (Mng)";"Qtr Op Rpt Q4",#N/A,FALSE,"Qtr-Op (Rpt)";"Operating Vs Reported",#N/A,FALSE,"Rpt-Op Inc"}</definedName>
    <definedName name="wrn.Qtr_.Op._.Q4." localSheetId="0" hidden="1">{"Qtr Op Mgd Q3",#N/A,FALSE,"Qtr-Op (Mng)";"Qtr Op Rpt Q4",#N/A,FALSE,"Qtr-Op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Receipt94v93CM." localSheetId="1" hidden="1">{"Receipt94v93CM",#N/A,FALSE,"CONTROL"}</definedName>
    <definedName name="wrn.Receipt94v93CM." localSheetId="0" hidden="1">{"Receipt94v93CM",#N/A,FALSE,"CONTROL"}</definedName>
    <definedName name="wrn.Receipt94v93CM." hidden="1">{"Receipt94v93CM",#N/A,FALSE,"CONTROL"}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TS." localSheetId="1" hidden="1">{"rts",#N/A,TRUE,"TITLE";#N/A,#N/A,TRUE,"P&amp;L - RTS";#N/A,#N/A,TRUE,"RTS biz";#N/A,#N/A,TRUE,"Cost - RTS";"RTS",#N/A,TRUE,"Capex "}</definedName>
    <definedName name="wrn.RTS." localSheetId="0" hidden="1">{"rts",#N/A,TRUE,"TITLE";#N/A,#N/A,TRUE,"P&amp;L - RTS";#N/A,#N/A,TRUE,"RTS biz";#N/A,#N/A,TRUE,"Cost - RTS";"RTS",#N/A,TRUE,"Capex "}</definedName>
    <definedName name="wrn.RTS." hidden="1">{"rts",#N/A,TRUE,"TITLE";#N/A,#N/A,TRUE,"P&amp;L - RTS";#N/A,#N/A,TRUE,"RTS biz";#N/A,#N/A,TRUE,"Cost - RTS";"RTS",#N/A,TRUE,"Capex "}</definedName>
    <definedName name="wrn.Segment." localSheetId="1" hidden="1">{#N/A,#N/A,FALSE,"Corp.bk";#N/A,#N/A,FALSE,"operation VN";#N/A,#N/A,FALSE,"CUST. SERV VN";#N/A,#N/A,FALSE,"Corp - seg";#N/A,#N/A,FALSE,"Treasury";#N/A,#N/A,FALSE,"Treasury-SEG";#N/A,#N/A,FALSE,"IBG";#N/A,#N/A,FALSE,"IBG-SEG";#N/A,#N/A,FALSE,"Fin";#N/A,#N/A,FALSE,"Fin-seg";#N/A,#N/A,FALSE,"CEO";#N/A,#N/A,FALSE,"VNSEG";#N/A,#N/A,FALSE,"VNSEG YTD";#N/A,#N/A,FALSE,"IT"}</definedName>
    <definedName name="wrn.Segment." localSheetId="0" hidden="1">{#N/A,#N/A,FALSE,"Corp.bk";#N/A,#N/A,FALSE,"operation VN";#N/A,#N/A,FALSE,"CUST. SERV VN";#N/A,#N/A,FALSE,"Corp - seg";#N/A,#N/A,FALSE,"Treasury";#N/A,#N/A,FALSE,"Treasury-SEG";#N/A,#N/A,FALSE,"IBG";#N/A,#N/A,FALSE,"IBG-SEG";#N/A,#N/A,FALSE,"Fin";#N/A,#N/A,FALSE,"Fin-seg";#N/A,#N/A,FALSE,"CEO";#N/A,#N/A,FALSE,"VNSEG";#N/A,#N/A,FALSE,"VNSEG YTD";#N/A,#N/A,FALSE,"IT"}</definedName>
    <definedName name="wrn.Segment." hidden="1">{#N/A,#N/A,FALSE,"Corp.bk";#N/A,#N/A,FALSE,"operation VN";#N/A,#N/A,FALSE,"CUST. SERV VN";#N/A,#N/A,FALSE,"Corp - seg";#N/A,#N/A,FALSE,"Treasury";#N/A,#N/A,FALSE,"Treasury-SEG";#N/A,#N/A,FALSE,"IBG";#N/A,#N/A,FALSE,"IBG-SEG";#N/A,#N/A,FALSE,"Fin";#N/A,#N/A,FALSE,"Fin-seg";#N/A,#N/A,FALSE,"CEO";#N/A,#N/A,FALSE,"VNSEG";#N/A,#N/A,FALSE,"VNSEG YTD";#N/A,#N/A,FALSE,"IT"}</definedName>
    <definedName name="wrn.startup." localSheetId="1" hidden="1">{#N/A,#N/A,TRUE,"rate";#N/A,#N/A,TRUE,"E1005CH";#N/A,#N/A,TRUE,"E2800CH";#N/A,#N/A,TRUE,"E8118CH";#N/A,#N/A,TRUE,"E8157CH";#N/A,#N/A,TRUE,"E8213CH";#N/A,#N/A,TRUE,"pursue"}</definedName>
    <definedName name="wrn.startup." localSheetId="0" hidden="1">{#N/A,#N/A,TRUE,"rate";#N/A,#N/A,TRUE,"E1005CH";#N/A,#N/A,TRUE,"E2800CH";#N/A,#N/A,TRUE,"E8118CH";#N/A,#N/A,TRUE,"E8157CH";#N/A,#N/A,TRUE,"E8213CH";#N/A,#N/A,TRUE,"pursue"}</definedName>
    <definedName name="wrn.startup." hidden="1">{#N/A,#N/A,TRUE,"rate";#N/A,#N/A,TRUE,"E1005CH";#N/A,#N/A,TRUE,"E2800CH";#N/A,#N/A,TRUE,"E8118CH";#N/A,#N/A,TRUE,"E8157CH";#N/A,#N/A,TRUE,"E8213CH";#N/A,#N/A,TRUE,"pursue"}</definedName>
    <definedName name="wrn.Summary." localSheetId="1" hidden="1">{"Section 1",#N/A,TRUE,"Summary";"Section 2",#N/A,TRUE,"Summary";"Section 3",#N/A,TRUE,"Summary";"Section 4",#N/A,TRUE,"Summary"}</definedName>
    <definedName name="wrn.Summary." localSheetId="0" hidden="1">{"Section 1",#N/A,TRUE,"Summary";"Section 2",#N/A,TRUE,"Summary";"Section 3",#N/A,TRUE,"Summary";"Section 4",#N/A,TRUE,"Summary"}</definedName>
    <definedName name="wrn.Summary." hidden="1">{"Section 1",#N/A,TRUE,"Summary";"Section 2",#N/A,TRUE,"Summary";"Section 3",#N/A,TRUE,"Summary";"Section 4",#N/A,TRUE,"Summary"}</definedName>
    <definedName name="wrn.TARGET._.DCF." localSheetId="1" hidden="1">{"targetdcf",#N/A,FALSE,"Merger consequences";"TARGETASSU",#N/A,FALSE,"Merger consequences";"TERMINAL VALUE",#N/A,FALSE,"Merger consequences"}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elstra._.Inputs." localSheetId="1" hidden="1">{"Inputs",#N/A,FALSE,"US_FL";"Inputs",#N/A,FALSE,"EUROPE_FL";"Inputs",#N/A,FALSE,"ASIA_FL"}</definedName>
    <definedName name="wrn.Telstra._.Inputs." localSheetId="0" hidden="1">{"Inputs",#N/A,FALSE,"US_FL";"Inputs",#N/A,FALSE,"EUROPE_FL";"Inputs",#N/A,FALSE,"ASIA_FL"}</definedName>
    <definedName name="wrn.Telstra._.Inputs." hidden="1">{"Inputs",#N/A,FALSE,"US_FL";"Inputs",#N/A,FALSE,"EUROPE_FL";"Inputs",#N/A,FALSE,"ASIA_FL"}</definedName>
    <definedName name="wrn.Telstra._.Output." localSheetId="1" hidden="1">{"Output",#N/A,FALSE,"US_FL";"Output",#N/A,FALSE,"EUROPE_FL";"Output",#N/A,FALSE,"ASIA_FL"}</definedName>
    <definedName name="wrn.Telstra._.Output." localSheetId="0" hidden="1">{"Output",#N/A,FALSE,"US_FL";"Output",#N/A,FALSE,"EUROPE_FL";"Output",#N/A,FALSE,"ASIA_FL"}</definedName>
    <definedName name="wrn.Telstra._.Output." hidden="1">{"Output",#N/A,FALSE,"US_FL";"Output",#N/A,FALSE,"EUROPE_FL";"Output",#N/A,FALSE,"ASIA_FL"}</definedName>
    <definedName name="wrn.tuan." localSheetId="1" hidden="1">{#N/A,#N/A,FALSE,"LEDGERSUMARY"}</definedName>
    <definedName name="wrn.tuan." localSheetId="0" hidden="1">{#N/A,#N/A,FALSE,"LEDGERSUMARY"}</definedName>
    <definedName name="wrn.tuan." hidden="1">{#N/A,#N/A,FALSE,"LEDGERSUMARY"}</definedName>
    <definedName name="wrn.Variance._.3." localSheetId="1" hidden="1">{"Variance Q3",#N/A,FALSE,"Var"}</definedName>
    <definedName name="wrn.Variance._.3." localSheetId="0" hidden="1">{"Variance Q3",#N/A,FALSE,"Var"}</definedName>
    <definedName name="wrn.Variance._.3." hidden="1">{"Variance Q3",#N/A,FALSE,"Var"}</definedName>
    <definedName name="wrn.Variance._.Q1." localSheetId="1" hidden="1">{"Variance Q1",#N/A,FALSE,"Var"}</definedName>
    <definedName name="wrn.Variance._.Q1." localSheetId="0" hidden="1">{"Variance Q1",#N/A,FALSE,"Var"}</definedName>
    <definedName name="wrn.Variance._.Q1." hidden="1">{"Variance Q1",#N/A,FALSE,"Var"}</definedName>
    <definedName name="wrn.Variance._.Q2." localSheetId="1" hidden="1">{"Variance Q2",#N/A,FALSE,"Var"}</definedName>
    <definedName name="wrn.Variance._.Q2." localSheetId="0" hidden="1">{"Variance Q2",#N/A,FALSE,"Var"}</definedName>
    <definedName name="wrn.Variance._.Q2." hidden="1">{"Variance Q2",#N/A,FALSE,"Var"}</definedName>
    <definedName name="wrn.Variance._.Q3." localSheetId="1" hidden="1">{"Variance Q3",#N/A,FALSE,"Var"}</definedName>
    <definedName name="wrn.Variance._.Q3." localSheetId="0" hidden="1">{"Variance Q3",#N/A,FALSE,"Var"}</definedName>
    <definedName name="wrn.Variance._.Q3." hidden="1">{"Variance Q3",#N/A,FALSE,"Var"}</definedName>
    <definedName name="wrn.Variance._.Q4" localSheetId="1" hidden="1">{"Variance Q4",#N/A,FALSE,"Var"}</definedName>
    <definedName name="wrn.Variance._.Q4" localSheetId="0" hidden="1">{"Variance Q4",#N/A,FALSE,"Var"}</definedName>
    <definedName name="wrn.Variance._.Q4" hidden="1">{"Variance Q4",#N/A,FALSE,"Var"}</definedName>
    <definedName name="wrn.Variance._.Q4." localSheetId="1" hidden="1">{"Variance Q4",#N/A,FALSE,"Var"}</definedName>
    <definedName name="wrn.Variance._.Q4." localSheetId="0" hidden="1">{"Variance Q4",#N/A,FALSE,"Var"}</definedName>
    <definedName name="wrn.Variance._.Q4." hidden="1">{"Variance Q4",#N/A,FALSE,"Var"}</definedName>
    <definedName name="wrn.vd." localSheetId="1" hidden="1">{#N/A,#N/A,TRUE,"BT M200 da 10x20"}</definedName>
    <definedName name="wrn.vd." localSheetId="0" hidden="1">{#N/A,#N/A,TRUE,"BT M200 da 10x20"}</definedName>
    <definedName name="wrn.vd." hidden="1">{#N/A,#N/A,TRUE,"BT M200 da 10x20"}</definedName>
    <definedName name="wrn.Wacc." localSheetId="1" hidden="1">{"Area1",#N/A,FALSE,"OREWACC";"Area2",#N/A,FALSE,"OREWACC"}</definedName>
    <definedName name="wrn.Wacc." localSheetId="0" hidden="1">{"Area1",#N/A,FALSE,"OREWACC";"Area2",#N/A,FALSE,"OREWACC"}</definedName>
    <definedName name="wrn.Wacc." hidden="1">{"Area1",#N/A,FALSE,"OREWACC";"Area2",#N/A,FALSE,"OREWACC"}</definedName>
    <definedName name="www" localSheetId="1" hidden="1">{"Plot1",#N/A,FALSE,"Plots";"plot2",#N/A,FALSE,"Plots";"plot3",#N/A,FALSE,"Plots";"plot4",#N/A,FALSE,"Plots";"plot5",#N/A,FALSE,"Plots";"plot6",#N/A,FALSE,"Plots"}</definedName>
    <definedName name="www" localSheetId="0" hidden="1">{"Plot1",#N/A,FALSE,"Plots";"plot2",#N/A,FALSE,"Plots";"plot3",#N/A,FALSE,"Plots";"plot4",#N/A,FALSE,"Plots";"plot5",#N/A,FALSE,"Plots";"plot6",#N/A,FALSE,"Plots"}</definedName>
    <definedName name="www" hidden="1">{"Plot1",#N/A,FALSE,"Plots";"plot2",#N/A,FALSE,"Plots";"plot3",#N/A,FALSE,"Plots";"plot4",#N/A,FALSE,"Plots";"plot5",#N/A,FALSE,"Plots";"plot6",#N/A,FALSE,"Plots"}</definedName>
    <definedName name="wwwwwww" localSheetId="3" hidden="1">#REF!</definedName>
    <definedName name="wwwwwww" localSheetId="4" hidden="1">#REF!</definedName>
    <definedName name="wwwwwww" hidden="1">#REF!</definedName>
    <definedName name="wwwwwwww" localSheetId="3" hidden="1">#REF!</definedName>
    <definedName name="wwwwwwww" localSheetId="4" hidden="1">#REF!</definedName>
    <definedName name="wwwwwwww" localSheetId="0" hidden="1">#REF!</definedName>
    <definedName name="wwwwwwww" hidden="1">#REF!</definedName>
    <definedName name="wwwwwwwwq" localSheetId="3" hidden="1">#REF!</definedName>
    <definedName name="wwwwwwwwq" localSheetId="4" hidden="1">#REF!</definedName>
    <definedName name="wwwwwwwwq" localSheetId="0" hidden="1">#REF!</definedName>
    <definedName name="wwwwwwwwq" hidden="1">#REF!</definedName>
    <definedName name="xcvcv" localSheetId="3" hidden="1">#REF!</definedName>
    <definedName name="xcvcv" localSheetId="4" hidden="1">#REF!</definedName>
    <definedName name="xcvcv" localSheetId="0" hidden="1">#REF!</definedName>
    <definedName name="xcvcv" hidden="1">#REF!</definedName>
    <definedName name="XREF_COLUMN_1" localSheetId="3" hidden="1">#REF!</definedName>
    <definedName name="XREF_COLUMN_1" localSheetId="4" hidden="1">#REF!</definedName>
    <definedName name="XREF_COLUMN_1" localSheetId="0" hidden="1">#REF!</definedName>
    <definedName name="XREF_COLUMN_1" hidden="1">#REF!</definedName>
    <definedName name="XREF_COLUMN_2" localSheetId="3" hidden="1">#REF!</definedName>
    <definedName name="XREF_COLUMN_2" localSheetId="4" hidden="1">#REF!</definedName>
    <definedName name="XREF_COLUMN_2" localSheetId="0" hidden="1">#REF!</definedName>
    <definedName name="XREF_COLUMN_2" hidden="1">#REF!</definedName>
    <definedName name="XREF_COLUMN_3" localSheetId="3" hidden="1">'[11]chi tiet TS theo so lieu ktoan'!#REF!</definedName>
    <definedName name="XREF_COLUMN_3" localSheetId="4" hidden="1">'[11]chi tiet TS theo so lieu ktoan'!#REF!</definedName>
    <definedName name="XREF_COLUMN_3" localSheetId="0" hidden="1">'[11]chi tiet TS theo so lieu ktoan'!#REF!</definedName>
    <definedName name="XREF_COLUMN_3" hidden="1">'[11]chi tiet TS theo so lieu ktoan'!#REF!</definedName>
    <definedName name="XREF_COLUMN_4" localSheetId="3" hidden="1">'[11]chi tiet TS theo so lieu ktoan'!#REF!</definedName>
    <definedName name="XREF_COLUMN_4" localSheetId="4" hidden="1">'[11]chi tiet TS theo so lieu ktoan'!#REF!</definedName>
    <definedName name="XREF_COLUMN_4" localSheetId="0" hidden="1">'[11]chi tiet TS theo so lieu ktoan'!#REF!</definedName>
    <definedName name="XREF_COLUMN_4" hidden="1">'[11]chi tiet TS theo so lieu ktoan'!#REF!</definedName>
    <definedName name="XRefActiveRow" localSheetId="3" hidden="1">#REF!</definedName>
    <definedName name="XRefActiveRow" localSheetId="4" hidden="1">#REF!</definedName>
    <definedName name="XRefActiveRow" localSheetId="0" hidden="1">#REF!</definedName>
    <definedName name="XRefActiveRow" hidden="1">#REF!</definedName>
    <definedName name="XRefColumnsCount" hidden="1">5</definedName>
    <definedName name="XRefCopy1" localSheetId="3" hidden="1">#REF!</definedName>
    <definedName name="XRefCopy1" localSheetId="4" hidden="1">#REF!</definedName>
    <definedName name="XRefCopy1" localSheetId="0" hidden="1">#REF!</definedName>
    <definedName name="XRefCopy1" hidden="1">#REF!</definedName>
    <definedName name="XRefCopy1Row" localSheetId="3" hidden="1">#REF!</definedName>
    <definedName name="XRefCopy1Row" localSheetId="4" hidden="1">#REF!</definedName>
    <definedName name="XRefCopy1Row" localSheetId="0" hidden="1">#REF!</definedName>
    <definedName name="XRefCopy1Row" hidden="1">#REF!</definedName>
    <definedName name="XRefCopy2" localSheetId="3" hidden="1">#REF!</definedName>
    <definedName name="XRefCopy2" localSheetId="4" hidden="1">#REF!</definedName>
    <definedName name="XRefCopy2" localSheetId="0" hidden="1">#REF!</definedName>
    <definedName name="XRefCopy2" hidden="1">#REF!</definedName>
    <definedName name="XRefCopy2Row" localSheetId="3" hidden="1">#REF!</definedName>
    <definedName name="XRefCopy2Row" localSheetId="4" hidden="1">#REF!</definedName>
    <definedName name="XRefCopy2Row" localSheetId="0" hidden="1">#REF!</definedName>
    <definedName name="XRefCopy2Row" hidden="1">#REF!</definedName>
    <definedName name="XRefCopy3" localSheetId="3" hidden="1">#REF!</definedName>
    <definedName name="XRefCopy3" localSheetId="4" hidden="1">#REF!</definedName>
    <definedName name="XRefCopy3" localSheetId="0" hidden="1">#REF!</definedName>
    <definedName name="XRefCopy3" hidden="1">#REF!</definedName>
    <definedName name="XRefCopy3Row" localSheetId="3" hidden="1">#REF!</definedName>
    <definedName name="XRefCopy3Row" localSheetId="4" hidden="1">#REF!</definedName>
    <definedName name="XRefCopy3Row" localSheetId="0" hidden="1">#REF!</definedName>
    <definedName name="XRefCopy3Row" hidden="1">#REF!</definedName>
    <definedName name="XRefCopy4" localSheetId="3" hidden="1">'[11]chi tiet TS theo so lieu ktoan'!#REF!</definedName>
    <definedName name="XRefCopy4" localSheetId="4" hidden="1">'[11]chi tiet TS theo so lieu ktoan'!#REF!</definedName>
    <definedName name="XRefCopy4" localSheetId="0" hidden="1">'[11]chi tiet TS theo so lieu ktoan'!#REF!</definedName>
    <definedName name="XRefCopy4" hidden="1">'[11]chi tiet TS theo so lieu ktoan'!#REF!</definedName>
    <definedName name="XRefCopy4Row" localSheetId="3" hidden="1">#REF!</definedName>
    <definedName name="XRefCopy4Row" localSheetId="4" hidden="1">#REF!</definedName>
    <definedName name="XRefCopy4Row" localSheetId="0" hidden="1">#REF!</definedName>
    <definedName name="XRefCopy4Row" hidden="1">#REF!</definedName>
    <definedName name="XRefCopy5" localSheetId="3" hidden="1">'[11]chi tiet TS theo so lieu ktoan'!#REF!</definedName>
    <definedName name="XRefCopy5" localSheetId="4" hidden="1">'[11]chi tiet TS theo so lieu ktoan'!#REF!</definedName>
    <definedName name="XRefCopy5" localSheetId="0" hidden="1">'[11]chi tiet TS theo so lieu ktoan'!#REF!</definedName>
    <definedName name="XRefCopy5" hidden="1">'[11]chi tiet TS theo so lieu ktoan'!#REF!</definedName>
    <definedName name="XRefCopy5Row" localSheetId="3" hidden="1">#REF!</definedName>
    <definedName name="XRefCopy5Row" localSheetId="4" hidden="1">#REF!</definedName>
    <definedName name="XRefCopy5Row" localSheetId="0" hidden="1">#REF!</definedName>
    <definedName name="XRefCopy5Row" hidden="1">#REF!</definedName>
    <definedName name="XRefCopy6" localSheetId="3" hidden="1">#REF!</definedName>
    <definedName name="XRefCopy6" localSheetId="4" hidden="1">#REF!</definedName>
    <definedName name="XRefCopy6" localSheetId="0" hidden="1">#REF!</definedName>
    <definedName name="XRefCopy6" hidden="1">#REF!</definedName>
    <definedName name="XRefCopy6Row" localSheetId="3" hidden="1">#REF!</definedName>
    <definedName name="XRefCopy6Row" localSheetId="4" hidden="1">#REF!</definedName>
    <definedName name="XRefCopy6Row" localSheetId="0" hidden="1">#REF!</definedName>
    <definedName name="XRefCopy6Row" hidden="1">#REF!</definedName>
    <definedName name="XRefCopy7" localSheetId="3" hidden="1">#REF!</definedName>
    <definedName name="XRefCopy7" localSheetId="4" hidden="1">#REF!</definedName>
    <definedName name="XRefCopy7" localSheetId="0" hidden="1">#REF!</definedName>
    <definedName name="XRefCopy7" hidden="1">#REF!</definedName>
    <definedName name="XRefCopy7Row" localSheetId="3" hidden="1">#REF!</definedName>
    <definedName name="XRefCopy7Row" localSheetId="4" hidden="1">#REF!</definedName>
    <definedName name="XRefCopy7Row" localSheetId="0" hidden="1">#REF!</definedName>
    <definedName name="XRefCopy7Row" hidden="1">#REF!</definedName>
    <definedName name="XRefCopy8" localSheetId="3" hidden="1">#REF!</definedName>
    <definedName name="XRefCopy8" localSheetId="4" hidden="1">#REF!</definedName>
    <definedName name="XRefCopy8" localSheetId="0" hidden="1">#REF!</definedName>
    <definedName name="XRefCopy8" hidden="1">#REF!</definedName>
    <definedName name="XRefCopyRangeCount" hidden="1">6</definedName>
    <definedName name="XRefPaste1" localSheetId="3" hidden="1">#REF!</definedName>
    <definedName name="XRefPaste1" localSheetId="4" hidden="1">#REF!</definedName>
    <definedName name="XRefPaste1" localSheetId="0" hidden="1">#REF!</definedName>
    <definedName name="XRefPaste1" hidden="1">#REF!</definedName>
    <definedName name="XRefPaste1Row" localSheetId="3" hidden="1">#REF!</definedName>
    <definedName name="XRefPaste1Row" localSheetId="4" hidden="1">#REF!</definedName>
    <definedName name="XRefPaste1Row" localSheetId="0" hidden="1">#REF!</definedName>
    <definedName name="XRefPaste1Row" hidden="1">#REF!</definedName>
    <definedName name="XRefPaste2" localSheetId="3" hidden="1">#REF!</definedName>
    <definedName name="XRefPaste2" localSheetId="4" hidden="1">#REF!</definedName>
    <definedName name="XRefPaste2" localSheetId="0" hidden="1">#REF!</definedName>
    <definedName name="XRefPaste2" hidden="1">#REF!</definedName>
    <definedName name="XRefPaste2Row" localSheetId="3" hidden="1">#REF!</definedName>
    <definedName name="XRefPaste2Row" localSheetId="4" hidden="1">#REF!</definedName>
    <definedName name="XRefPaste2Row" localSheetId="0" hidden="1">#REF!</definedName>
    <definedName name="XRefPaste2Row" hidden="1">#REF!</definedName>
    <definedName name="XRefPaste3" localSheetId="3" hidden="1">#REF!</definedName>
    <definedName name="XRefPaste3" localSheetId="4" hidden="1">#REF!</definedName>
    <definedName name="XRefPaste3" localSheetId="0" hidden="1">#REF!</definedName>
    <definedName name="XRefPaste3" hidden="1">#REF!</definedName>
    <definedName name="XRefPaste3Row" localSheetId="3" hidden="1">#REF!</definedName>
    <definedName name="XRefPaste3Row" localSheetId="4" hidden="1">#REF!</definedName>
    <definedName name="XRefPaste3Row" localSheetId="0" hidden="1">#REF!</definedName>
    <definedName name="XRefPaste3Row" hidden="1">#REF!</definedName>
    <definedName name="XRefPaste4" localSheetId="3" hidden="1">#REF!</definedName>
    <definedName name="XRefPaste4" localSheetId="4" hidden="1">#REF!</definedName>
    <definedName name="XRefPaste4" localSheetId="0" hidden="1">#REF!</definedName>
    <definedName name="XRefPaste4" hidden="1">#REF!</definedName>
    <definedName name="XRefPaste4Row" localSheetId="3" hidden="1">#REF!</definedName>
    <definedName name="XRefPaste4Row" localSheetId="4" hidden="1">#REF!</definedName>
    <definedName name="XRefPaste4Row" localSheetId="0" hidden="1">#REF!</definedName>
    <definedName name="XRefPaste4Row" hidden="1">#REF!</definedName>
    <definedName name="XRefPaste5" localSheetId="3" hidden="1">#REF!</definedName>
    <definedName name="XRefPaste5" localSheetId="4" hidden="1">#REF!</definedName>
    <definedName name="XRefPaste5" localSheetId="0" hidden="1">#REF!</definedName>
    <definedName name="XRefPaste5" hidden="1">#REF!</definedName>
    <definedName name="XRefPaste5Row" localSheetId="3" hidden="1">#REF!</definedName>
    <definedName name="XRefPaste5Row" localSheetId="4" hidden="1">#REF!</definedName>
    <definedName name="XRefPaste5Row" localSheetId="0" hidden="1">#REF!</definedName>
    <definedName name="XRefPaste5Row" hidden="1">#REF!</definedName>
    <definedName name="XRefPaste6" localSheetId="3" hidden="1">#REF!</definedName>
    <definedName name="XRefPaste6" localSheetId="4" hidden="1">#REF!</definedName>
    <definedName name="XRefPaste6" localSheetId="0" hidden="1">#REF!</definedName>
    <definedName name="XRefPaste6" hidden="1">#REF!</definedName>
    <definedName name="XRefPaste6Row" localSheetId="3" hidden="1">#REF!</definedName>
    <definedName name="XRefPaste6Row" localSheetId="4" hidden="1">#REF!</definedName>
    <definedName name="XRefPaste6Row" localSheetId="0" hidden="1">#REF!</definedName>
    <definedName name="XRefPaste6Row" hidden="1">#REF!</definedName>
    <definedName name="XRefPaste7" localSheetId="3" hidden="1">#REF!</definedName>
    <definedName name="XRefPaste7" localSheetId="4" hidden="1">#REF!</definedName>
    <definedName name="XRefPaste7" localSheetId="0" hidden="1">#REF!</definedName>
    <definedName name="XRefPaste7" hidden="1">#REF!</definedName>
    <definedName name="XRefPaste7Row" localSheetId="3" hidden="1">#REF!</definedName>
    <definedName name="XRefPaste7Row" localSheetId="4" hidden="1">#REF!</definedName>
    <definedName name="XRefPaste7Row" localSheetId="0" hidden="1">#REF!</definedName>
    <definedName name="XRefPaste7Row" hidden="1">#REF!</definedName>
    <definedName name="XRefPaste8" localSheetId="3" hidden="1">#REF!</definedName>
    <definedName name="XRefPaste8" localSheetId="4" hidden="1">#REF!</definedName>
    <definedName name="XRefPaste8" localSheetId="0" hidden="1">#REF!</definedName>
    <definedName name="XRefPaste8" hidden="1">#REF!</definedName>
    <definedName name="XRefPaste8Row" localSheetId="3" hidden="1">#REF!</definedName>
    <definedName name="XRefPaste8Row" localSheetId="4" hidden="1">#REF!</definedName>
    <definedName name="XRefPaste8Row" localSheetId="0" hidden="1">#REF!</definedName>
    <definedName name="XRefPaste8Row" hidden="1">#REF!</definedName>
    <definedName name="XRefPaste9" localSheetId="3" hidden="1">#REF!</definedName>
    <definedName name="XRefPaste9" localSheetId="4" hidden="1">#REF!</definedName>
    <definedName name="XRefPaste9" localSheetId="0" hidden="1">#REF!</definedName>
    <definedName name="XRefPaste9" hidden="1">#REF!</definedName>
    <definedName name="XRefPaste9Row" localSheetId="3" hidden="1">#REF!</definedName>
    <definedName name="XRefPaste9Row" localSheetId="4" hidden="1">#REF!</definedName>
    <definedName name="XRefPaste9Row" localSheetId="0" hidden="1">#REF!</definedName>
    <definedName name="XRefPaste9Row" hidden="1">#REF!</definedName>
    <definedName name="XRefPasteRangeCount" hidden="1">5</definedName>
    <definedName name="XuÊt8" localSheetId="1" hidden="1">{"'Sheet1'!$L$16"}</definedName>
    <definedName name="XuÊt8" localSheetId="0" hidden="1">{"'Sheet1'!$L$16"}</definedName>
    <definedName name="XuÊt8" hidden="1">{"'Sheet1'!$L$16"}</definedName>
    <definedName name="xxxxxxxx" localSheetId="3" hidden="1">#REF!</definedName>
    <definedName name="xxxxxxxx" localSheetId="4" hidden="1">#REF!</definedName>
    <definedName name="xxxxxxxx" hidden="1">#REF!</definedName>
    <definedName name="ỷh" localSheetId="3" hidden="1">#REF!</definedName>
    <definedName name="ỷh" localSheetId="4" hidden="1">#REF!</definedName>
    <definedName name="ỷh" localSheetId="0" hidden="1">#REF!</definedName>
    <definedName name="ỷh" hidden="1">#REF!</definedName>
    <definedName name="ỵyrjrt" localSheetId="3" hidden="1">#REF!</definedName>
    <definedName name="ỵyrjrt" localSheetId="4" hidden="1">#REF!</definedName>
    <definedName name="ỵyrjrt" localSheetId="0" hidden="1">#REF!</definedName>
    <definedName name="ỵyrjrt" hidden="1">#REF!</definedName>
    <definedName name="yyyyte" localSheetId="1" hidden="1">{"'Sheet1'!$L$16"}</definedName>
    <definedName name="yyyyte" localSheetId="0" hidden="1">{"'Sheet1'!$L$16"}</definedName>
    <definedName name="yyyyte" hidden="1">{"'Sheet1'!$L$16"}</definedName>
    <definedName name="yyyyyy" localSheetId="3" hidden="1">#REF!</definedName>
    <definedName name="yyyyyy" localSheetId="4" hidden="1">#REF!</definedName>
    <definedName name="yyyyyy" hidden="1">#REF!</definedName>
    <definedName name="Z_6A0759C3_4EBE_11D5_BED3_00B0D0BF34BF_.wvu.Rows" hidden="1">[12]EXECp2!$41:$41</definedName>
    <definedName name="zKm2" localSheetId="1" hidden="1">{"'Sheet1'!$L$16"}</definedName>
    <definedName name="zKm2" localSheetId="0" hidden="1">{"'Sheet1'!$L$16"}</definedName>
    <definedName name="zKm2" hidden="1">{"'Sheet1'!$L$16"}</definedName>
    <definedName name="zsd" localSheetId="3" hidden="1">#REF!</definedName>
    <definedName name="zsd" localSheetId="4" hidden="1">#REF!</definedName>
    <definedName name="zsd" localSheetId="0" hidden="1">#REF!</definedName>
    <definedName name="zsd" hidden="1">#REF!</definedName>
    <definedName name="ZXzX" localSheetId="1" hidden="1">{"'Sheet1'!$L$16"}</definedName>
    <definedName name="ZXzX" localSheetId="0" hidden="1">{"'Sheet1'!$L$16"}</definedName>
    <definedName name="ZXzX" hidden="1">{"'Sheet1'!$L$16"}</definedName>
    <definedName name="건설부동산" localSheetId="3" hidden="1">'[13]5사남'!#REF!</definedName>
    <definedName name="건설부동산" localSheetId="4" hidden="1">'[13]5사남'!#REF!</definedName>
    <definedName name="건설부동산" localSheetId="0" hidden="1">'[13]5사남'!#REF!</definedName>
    <definedName name="건설부동산" hidden="1">'[13]5사남'!#REF!</definedName>
    <definedName name="ㄻ" localSheetId="3" hidden="1">'[14]5사남'!#REF!</definedName>
    <definedName name="ㄻ" localSheetId="4" hidden="1">'[14]5사남'!#REF!</definedName>
    <definedName name="ㄻ" localSheetId="0" hidden="1">'[14]5사남'!#REF!</definedName>
    <definedName name="ㄻ" hidden="1">'[14]5사남'!#REF!</definedName>
    <definedName name="몰라" hidden="1">'[8]주주명부&lt;끝&gt;'!$A$5:$A$14</definedName>
    <definedName name="설문지" localSheetId="3" hidden="1">#REF!</definedName>
    <definedName name="설문지" localSheetId="4" hidden="1">#REF!</definedName>
    <definedName name="설문지" localSheetId="0" hidden="1">#REF!</definedName>
    <definedName name="설문지" hidden="1">#REF!</definedName>
    <definedName name="일정97" localSheetId="3" hidden="1">#REF!</definedName>
    <definedName name="일정97" localSheetId="4" hidden="1">#REF!</definedName>
    <definedName name="일정97" localSheetId="0" hidden="1">#REF!</definedName>
    <definedName name="일정97" hidden="1">#REF!</definedName>
    <definedName name="ㅌㅊ" localSheetId="3" hidden="1">'[14]5사남'!#REF!</definedName>
    <definedName name="ㅌㅊ" localSheetId="4" hidden="1">'[14]5사남'!#REF!</definedName>
    <definedName name="ㅌㅊ" localSheetId="0" hidden="1">'[14]5사남'!#REF!</definedName>
    <definedName name="ㅌㅊ" hidden="1">'[14]5사남'!#REF!</definedName>
    <definedName name="표2" localSheetId="3" hidden="1">'[15]#REF'!#REF!</definedName>
    <definedName name="표2" localSheetId="4" hidden="1">'[15]#REF'!#REF!</definedName>
    <definedName name="표2" localSheetId="0" hidden="1">'[15]#REF'!#REF!</definedName>
    <definedName name="표2" hidden="1">'[15]#REF'!#REF!</definedName>
    <definedName name="ㅎㅎ" localSheetId="3" hidden="1">'[14]5사남'!#REF!</definedName>
    <definedName name="ㅎㅎ" localSheetId="4" hidden="1">'[14]5사남'!#REF!</definedName>
    <definedName name="ㅎㅎ" localSheetId="0" hidden="1">'[14]5사남'!#REF!</definedName>
    <definedName name="ㅎㅎ" hidden="1">'[14]5사남'!#REF!</definedName>
    <definedName name="한국8" localSheetId="3" hidden="1">#REF!</definedName>
    <definedName name="한국8" localSheetId="4" hidden="1">#REF!</definedName>
    <definedName name="한국8" localSheetId="0" hidden="1">#REF!</definedName>
    <definedName name="한국8" hidden="1">#REF!</definedName>
    <definedName name="한국9" localSheetId="3" hidden="1">#REF!</definedName>
    <definedName name="한국9" localSheetId="4" hidden="1">#REF!</definedName>
    <definedName name="한국9" localSheetId="0" hidden="1">#REF!</definedName>
    <definedName name="한국9" hidden="1">#REF!</definedName>
    <definedName name="한미" localSheetId="3" hidden="1">#REF!</definedName>
    <definedName name="한미" localSheetId="4" hidden="1">#REF!</definedName>
    <definedName name="한미" localSheetId="0" hidden="1">#REF!</definedName>
    <definedName name="한미" hidden="1">#REF!</definedName>
    <definedName name="ㅕㅅ" localSheetId="3" hidden="1">'[14]5사남'!#REF!</definedName>
    <definedName name="ㅕㅅ" localSheetId="4" hidden="1">'[14]5사남'!#REF!</definedName>
    <definedName name="ㅕㅅ" localSheetId="0" hidden="1">'[14]5사남'!#REF!</definedName>
    <definedName name="ㅕㅅ" hidden="1">'[14]5사남'!#REF!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28" i="3" l="1"/>
  <c r="BU129" i="3"/>
  <c r="BU121" i="3"/>
  <c r="BV121" i="3"/>
  <c r="BW121" i="3"/>
  <c r="BU122" i="3"/>
  <c r="BV122" i="3"/>
  <c r="BW122" i="3"/>
  <c r="BU123" i="3"/>
  <c r="BV123" i="3"/>
  <c r="BW123" i="3"/>
  <c r="BU124" i="3"/>
  <c r="BV124" i="3"/>
  <c r="BW124" i="3"/>
  <c r="BU125" i="3"/>
  <c r="BV125" i="3"/>
  <c r="BW125" i="3"/>
  <c r="BU126" i="3"/>
  <c r="BV126" i="3"/>
  <c r="BW126" i="3"/>
  <c r="BU127" i="3"/>
  <c r="BV127" i="3"/>
  <c r="BW127" i="3"/>
  <c r="BU128" i="3"/>
  <c r="BV128" i="3"/>
  <c r="BW128" i="3"/>
  <c r="BV129" i="3"/>
  <c r="BW129" i="3"/>
  <c r="BU131" i="3"/>
  <c r="BV131" i="3"/>
  <c r="BW131" i="3"/>
  <c r="BU132" i="3"/>
  <c r="BV132" i="3"/>
  <c r="BW132" i="3"/>
  <c r="BU133" i="3"/>
  <c r="BV133" i="3"/>
  <c r="BW133" i="3"/>
  <c r="BI133" i="3"/>
  <c r="BT133" i="3"/>
  <c r="BS133" i="3"/>
  <c r="BR133" i="3"/>
  <c r="BQ133" i="3"/>
  <c r="BP133" i="3"/>
  <c r="BO133" i="3"/>
  <c r="BN133" i="3"/>
  <c r="BM133" i="3"/>
  <c r="BL133" i="3"/>
  <c r="BK133" i="3"/>
  <c r="BJ133" i="3"/>
  <c r="BT132" i="3"/>
  <c r="BS132" i="3"/>
  <c r="BR132" i="3"/>
  <c r="BQ132" i="3"/>
  <c r="BP132" i="3"/>
  <c r="BO132" i="3"/>
  <c r="BN132" i="3"/>
  <c r="BM132" i="3"/>
  <c r="BL132" i="3"/>
  <c r="BK132" i="3"/>
  <c r="BJ132" i="3"/>
  <c r="BI132" i="3"/>
  <c r="BT131" i="3"/>
  <c r="BS131" i="3"/>
  <c r="BR131" i="3"/>
  <c r="BQ131" i="3"/>
  <c r="BP131" i="3"/>
  <c r="BO131" i="3"/>
  <c r="BN131" i="3"/>
  <c r="BM131" i="3"/>
  <c r="BL131" i="3"/>
  <c r="BK131" i="3"/>
  <c r="BJ131" i="3"/>
  <c r="BI131" i="3"/>
  <c r="BT129" i="3"/>
  <c r="BS129" i="3"/>
  <c r="BR129" i="3"/>
  <c r="BQ129" i="3"/>
  <c r="BP129" i="3"/>
  <c r="BO129" i="3"/>
  <c r="BN129" i="3"/>
  <c r="BM129" i="3"/>
  <c r="BL129" i="3"/>
  <c r="BK129" i="3"/>
  <c r="BJ129" i="3"/>
  <c r="BI129" i="3"/>
  <c r="BH129" i="3"/>
  <c r="BG129" i="3"/>
  <c r="BT128" i="3"/>
  <c r="BS128" i="3"/>
  <c r="BR128" i="3"/>
  <c r="BQ128" i="3"/>
  <c r="BP128" i="3"/>
  <c r="BO128" i="3"/>
  <c r="BN128" i="3"/>
  <c r="BM128" i="3"/>
  <c r="BL128" i="3"/>
  <c r="BK128" i="3"/>
  <c r="BJ128" i="3"/>
  <c r="BI128" i="3"/>
  <c r="BH128" i="3"/>
  <c r="BG128" i="3"/>
  <c r="BT127" i="3"/>
  <c r="BS127" i="3"/>
  <c r="BR127" i="3"/>
  <c r="BQ127" i="3"/>
  <c r="BP127" i="3"/>
  <c r="BO127" i="3"/>
  <c r="BN127" i="3"/>
  <c r="BM127" i="3"/>
  <c r="BL127" i="3"/>
  <c r="BK127" i="3"/>
  <c r="BJ127" i="3"/>
  <c r="BI127" i="3"/>
  <c r="BH127" i="3"/>
  <c r="BG127" i="3"/>
  <c r="BT126" i="3"/>
  <c r="BS126" i="3"/>
  <c r="BR126" i="3"/>
  <c r="BQ126" i="3"/>
  <c r="BP126" i="3"/>
  <c r="BO126" i="3"/>
  <c r="BN126" i="3"/>
  <c r="BM126" i="3"/>
  <c r="BL126" i="3"/>
  <c r="BK126" i="3"/>
  <c r="BJ126" i="3"/>
  <c r="BI126" i="3"/>
  <c r="BH126" i="3"/>
  <c r="BG126" i="3"/>
  <c r="BT125" i="3"/>
  <c r="BS125" i="3"/>
  <c r="BR125" i="3"/>
  <c r="BQ125" i="3"/>
  <c r="BP125" i="3"/>
  <c r="BO125" i="3"/>
  <c r="BN125" i="3"/>
  <c r="BM125" i="3"/>
  <c r="BL125" i="3"/>
  <c r="BK125" i="3"/>
  <c r="BJ125" i="3"/>
  <c r="BI125" i="3"/>
  <c r="BH125" i="3"/>
  <c r="BG125" i="3"/>
  <c r="BT124" i="3"/>
  <c r="BS124" i="3"/>
  <c r="BR124" i="3"/>
  <c r="BQ124" i="3"/>
  <c r="BP124" i="3"/>
  <c r="BO124" i="3"/>
  <c r="BN124" i="3"/>
  <c r="BM124" i="3"/>
  <c r="BL124" i="3"/>
  <c r="BK124" i="3"/>
  <c r="BJ124" i="3"/>
  <c r="BI124" i="3"/>
  <c r="BH124" i="3"/>
  <c r="BG124" i="3"/>
  <c r="BT123" i="3"/>
  <c r="BS123" i="3"/>
  <c r="BR123" i="3"/>
  <c r="BQ123" i="3"/>
  <c r="BP123" i="3"/>
  <c r="BO123" i="3"/>
  <c r="BN123" i="3"/>
  <c r="BM123" i="3"/>
  <c r="BL123" i="3"/>
  <c r="BK123" i="3"/>
  <c r="BJ123" i="3"/>
  <c r="BI123" i="3"/>
  <c r="BH123" i="3"/>
  <c r="BG123" i="3"/>
  <c r="BT122" i="3"/>
  <c r="BS122" i="3"/>
  <c r="BR122" i="3"/>
  <c r="BQ122" i="3"/>
  <c r="BP122" i="3"/>
  <c r="BO122" i="3"/>
  <c r="BN122" i="3"/>
  <c r="BM122" i="3"/>
  <c r="BL122" i="3"/>
  <c r="BK122" i="3"/>
  <c r="BJ122" i="3"/>
  <c r="BI122" i="3"/>
  <c r="BH122" i="3"/>
  <c r="BG122" i="3"/>
  <c r="BT121" i="3"/>
  <c r="BS121" i="3"/>
  <c r="BR121" i="3"/>
  <c r="BQ121" i="3"/>
  <c r="BP121" i="3"/>
  <c r="BO121" i="3"/>
  <c r="BN121" i="3"/>
  <c r="BM121" i="3"/>
  <c r="BL121" i="3"/>
  <c r="BK121" i="3"/>
  <c r="BJ121" i="3"/>
  <c r="BI121" i="3"/>
  <c r="G35" i="6" l="1"/>
  <c r="CR119" i="3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R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R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R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R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R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R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R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R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R34" i="6"/>
  <c r="B35" i="6"/>
  <c r="C35" i="6"/>
  <c r="D35" i="6"/>
  <c r="E35" i="6"/>
  <c r="F35" i="6"/>
  <c r="H35" i="6"/>
  <c r="I35" i="6"/>
  <c r="J35" i="6"/>
  <c r="K35" i="6"/>
  <c r="L35" i="6"/>
  <c r="M35" i="6"/>
  <c r="N35" i="6"/>
  <c r="O35" i="6"/>
  <c r="R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R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R37" i="6"/>
  <c r="CQ9" i="3"/>
  <c r="CR9" i="3"/>
  <c r="CQ10" i="3"/>
  <c r="CR10" i="3"/>
  <c r="CQ11" i="3"/>
  <c r="CR11" i="3"/>
  <c r="CQ12" i="3"/>
  <c r="CR12" i="3"/>
  <c r="CQ13" i="3"/>
  <c r="CR13" i="3"/>
  <c r="CQ14" i="3"/>
  <c r="CR14" i="3"/>
  <c r="CQ15" i="3"/>
  <c r="CR15" i="3"/>
  <c r="CQ16" i="3"/>
  <c r="CR16" i="3"/>
  <c r="CQ17" i="3"/>
  <c r="CR17" i="3"/>
  <c r="CQ18" i="3"/>
  <c r="CR18" i="3"/>
  <c r="CQ19" i="3"/>
  <c r="CR19" i="3"/>
  <c r="CQ20" i="3"/>
  <c r="CR20" i="3"/>
  <c r="CQ21" i="3"/>
  <c r="CR21" i="3"/>
  <c r="CQ22" i="3"/>
  <c r="CR22" i="3"/>
  <c r="CQ23" i="3"/>
  <c r="CR23" i="3"/>
  <c r="CQ24" i="3"/>
  <c r="CR24" i="3"/>
  <c r="CQ25" i="3"/>
  <c r="CR25" i="3"/>
  <c r="CQ26" i="3"/>
  <c r="CR26" i="3"/>
  <c r="CQ27" i="3"/>
  <c r="CR27" i="3"/>
  <c r="CQ28" i="3"/>
  <c r="CR28" i="3"/>
  <c r="CQ29" i="3"/>
  <c r="CR29" i="3"/>
  <c r="CQ30" i="3"/>
  <c r="CR30" i="3"/>
  <c r="CQ31" i="3"/>
  <c r="CR31" i="3"/>
  <c r="CQ32" i="3"/>
  <c r="CR32" i="3"/>
  <c r="CQ33" i="3"/>
  <c r="CR33" i="3"/>
  <c r="CQ34" i="3"/>
  <c r="CR34" i="3"/>
  <c r="CQ35" i="3"/>
  <c r="CR35" i="3"/>
  <c r="CQ36" i="3"/>
  <c r="CR36" i="3"/>
  <c r="CQ37" i="3"/>
  <c r="CR37" i="3"/>
  <c r="CQ38" i="3"/>
  <c r="CR38" i="3"/>
  <c r="CQ39" i="3"/>
  <c r="CR39" i="3"/>
  <c r="CQ40" i="3"/>
  <c r="CR40" i="3"/>
  <c r="CQ41" i="3"/>
  <c r="CR41" i="3"/>
  <c r="CQ42" i="3"/>
  <c r="CR42" i="3"/>
  <c r="CQ43" i="3"/>
  <c r="CR43" i="3"/>
  <c r="CQ44" i="3"/>
  <c r="CR44" i="3"/>
  <c r="CQ8" i="3"/>
  <c r="CR8" i="3"/>
  <c r="CQ121" i="3" l="1"/>
  <c r="CQ118" i="3"/>
  <c r="CQ119" i="3"/>
  <c r="CQ120" i="3"/>
  <c r="CT118" i="3"/>
  <c r="CR118" i="3"/>
  <c r="CS118" i="3"/>
  <c r="CU118" i="3"/>
  <c r="CV118" i="3"/>
  <c r="CW118" i="3"/>
  <c r="CX118" i="3"/>
  <c r="CY118" i="3"/>
  <c r="CZ118" i="3"/>
  <c r="DA118" i="3"/>
  <c r="DB118" i="3"/>
  <c r="CP19" i="3" l="1"/>
  <c r="CP24" i="3"/>
  <c r="CP27" i="3"/>
  <c r="CP40" i="3"/>
  <c r="CP48" i="3"/>
  <c r="CP61" i="3"/>
  <c r="CP62" i="3"/>
  <c r="CP63" i="3"/>
  <c r="CP64" i="3"/>
  <c r="CP67" i="3"/>
  <c r="CP68" i="3"/>
  <c r="CP69" i="3"/>
  <c r="CP70" i="3"/>
  <c r="CP71" i="3"/>
  <c r="CP76" i="3"/>
  <c r="CP77" i="3"/>
  <c r="CP78" i="3"/>
  <c r="CP80" i="3"/>
  <c r="CP81" i="3"/>
  <c r="CP82" i="3"/>
  <c r="CP110" i="3"/>
  <c r="CP116" i="3"/>
  <c r="CP117" i="3"/>
  <c r="CO9" i="3"/>
  <c r="CP9" i="3" s="1"/>
  <c r="CO10" i="3"/>
  <c r="CP10" i="3" s="1"/>
  <c r="CO11" i="3"/>
  <c r="CP11" i="3" s="1"/>
  <c r="CO12" i="3"/>
  <c r="CP12" i="3" s="1"/>
  <c r="CO13" i="3"/>
  <c r="CP13" i="3" s="1"/>
  <c r="CO14" i="3"/>
  <c r="CP14" i="3" s="1"/>
  <c r="CO15" i="3"/>
  <c r="CP15" i="3" s="1"/>
  <c r="CO16" i="3"/>
  <c r="CP16" i="3" s="1"/>
  <c r="CO17" i="3"/>
  <c r="CP17" i="3" s="1"/>
  <c r="CO18" i="3"/>
  <c r="CP18" i="3" s="1"/>
  <c r="CO19" i="3"/>
  <c r="CO20" i="3"/>
  <c r="CP20" i="3" s="1"/>
  <c r="CO21" i="3"/>
  <c r="CP21" i="3" s="1"/>
  <c r="CO22" i="3"/>
  <c r="CP22" i="3" s="1"/>
  <c r="CO23" i="3"/>
  <c r="CP23" i="3" s="1"/>
  <c r="CO24" i="3"/>
  <c r="CO25" i="3"/>
  <c r="CP25" i="3" s="1"/>
  <c r="CO26" i="3"/>
  <c r="CP26" i="3" s="1"/>
  <c r="CO27" i="3"/>
  <c r="CO28" i="3"/>
  <c r="CP28" i="3" s="1"/>
  <c r="CO29" i="3"/>
  <c r="CP29" i="3" s="1"/>
  <c r="CO30" i="3"/>
  <c r="CP30" i="3" s="1"/>
  <c r="CO31" i="3"/>
  <c r="CP31" i="3" s="1"/>
  <c r="CO32" i="3"/>
  <c r="CP32" i="3" s="1"/>
  <c r="CO33" i="3"/>
  <c r="CP33" i="3" s="1"/>
  <c r="CO34" i="3"/>
  <c r="CP34" i="3" s="1"/>
  <c r="CO35" i="3"/>
  <c r="CP35" i="3" s="1"/>
  <c r="CO36" i="3"/>
  <c r="CP36" i="3" s="1"/>
  <c r="CO37" i="3"/>
  <c r="CP37" i="3" s="1"/>
  <c r="CO38" i="3"/>
  <c r="CP38" i="3" s="1"/>
  <c r="CO39" i="3"/>
  <c r="CP39" i="3" s="1"/>
  <c r="CO40" i="3"/>
  <c r="CO41" i="3"/>
  <c r="CP41" i="3" s="1"/>
  <c r="CO42" i="3"/>
  <c r="CP42" i="3" s="1"/>
  <c r="CO43" i="3"/>
  <c r="CP43" i="3" s="1"/>
  <c r="CO44" i="3"/>
  <c r="CP44" i="3" s="1"/>
  <c r="CO45" i="3"/>
  <c r="CP45" i="3" s="1"/>
  <c r="CO46" i="3"/>
  <c r="CP46" i="3" s="1"/>
  <c r="CO47" i="3"/>
  <c r="CP47" i="3" s="1"/>
  <c r="CO48" i="3"/>
  <c r="CO49" i="3"/>
  <c r="CP49" i="3" s="1"/>
  <c r="CO50" i="3"/>
  <c r="CP50" i="3" s="1"/>
  <c r="CO51" i="3"/>
  <c r="CP51" i="3" s="1"/>
  <c r="CO52" i="3"/>
  <c r="CP52" i="3" s="1"/>
  <c r="CO53" i="3"/>
  <c r="CP53" i="3" s="1"/>
  <c r="CO54" i="3"/>
  <c r="CP54" i="3" s="1"/>
  <c r="CO55" i="3"/>
  <c r="CP55" i="3" s="1"/>
  <c r="CO56" i="3"/>
  <c r="CP56" i="3" s="1"/>
  <c r="CO57" i="3"/>
  <c r="CP57" i="3" s="1"/>
  <c r="CO58" i="3"/>
  <c r="CP58" i="3" s="1"/>
  <c r="CO59" i="3"/>
  <c r="CP59" i="3" s="1"/>
  <c r="CO60" i="3"/>
  <c r="CP60" i="3" s="1"/>
  <c r="CO61" i="3"/>
  <c r="CO62" i="3"/>
  <c r="CO63" i="3"/>
  <c r="CO64" i="3"/>
  <c r="CO65" i="3"/>
  <c r="CP65" i="3" s="1"/>
  <c r="CO66" i="3"/>
  <c r="CP66" i="3" s="1"/>
  <c r="CO67" i="3"/>
  <c r="CO68" i="3"/>
  <c r="CO69" i="3"/>
  <c r="CO70" i="3"/>
  <c r="CO71" i="3"/>
  <c r="CO72" i="3"/>
  <c r="CP72" i="3" s="1"/>
  <c r="CO73" i="3"/>
  <c r="CP73" i="3" s="1"/>
  <c r="CO74" i="3"/>
  <c r="CP74" i="3" s="1"/>
  <c r="CO75" i="3"/>
  <c r="CP75" i="3" s="1"/>
  <c r="CO76" i="3"/>
  <c r="CO77" i="3"/>
  <c r="CO78" i="3"/>
  <c r="CO79" i="3"/>
  <c r="CP79" i="3" s="1"/>
  <c r="CO80" i="3"/>
  <c r="CO81" i="3"/>
  <c r="CO82" i="3"/>
  <c r="CO83" i="3"/>
  <c r="CP83" i="3" s="1"/>
  <c r="CO84" i="3"/>
  <c r="CP84" i="3" s="1"/>
  <c r="CO85" i="3"/>
  <c r="CP85" i="3" s="1"/>
  <c r="CO86" i="3"/>
  <c r="CP86" i="3" s="1"/>
  <c r="CO87" i="3"/>
  <c r="CP87" i="3" s="1"/>
  <c r="CO88" i="3"/>
  <c r="CP88" i="3" s="1"/>
  <c r="CO89" i="3"/>
  <c r="CP89" i="3" s="1"/>
  <c r="CO90" i="3"/>
  <c r="CP90" i="3" s="1"/>
  <c r="CO91" i="3"/>
  <c r="CP91" i="3" s="1"/>
  <c r="CO92" i="3"/>
  <c r="CP92" i="3" s="1"/>
  <c r="CO93" i="3"/>
  <c r="CP93" i="3" s="1"/>
  <c r="CO94" i="3"/>
  <c r="CP94" i="3" s="1"/>
  <c r="CO95" i="3"/>
  <c r="CP95" i="3" s="1"/>
  <c r="CO96" i="3"/>
  <c r="CP96" i="3" s="1"/>
  <c r="CO97" i="3"/>
  <c r="CP97" i="3" s="1"/>
  <c r="CO98" i="3"/>
  <c r="CP98" i="3" s="1"/>
  <c r="CO99" i="3"/>
  <c r="CP99" i="3" s="1"/>
  <c r="CO100" i="3"/>
  <c r="CP100" i="3" s="1"/>
  <c r="CO101" i="3"/>
  <c r="CP101" i="3" s="1"/>
  <c r="CO102" i="3"/>
  <c r="CP102" i="3" s="1"/>
  <c r="CO103" i="3"/>
  <c r="CP103" i="3" s="1"/>
  <c r="CO104" i="3"/>
  <c r="CP104" i="3" s="1"/>
  <c r="CO105" i="3"/>
  <c r="CP105" i="3" s="1"/>
  <c r="CO106" i="3"/>
  <c r="CP106" i="3" s="1"/>
  <c r="CO107" i="3"/>
  <c r="CP107" i="3" s="1"/>
  <c r="CO108" i="3"/>
  <c r="CP108" i="3" s="1"/>
  <c r="CO110" i="3"/>
  <c r="CO111" i="3"/>
  <c r="CP111" i="3" s="1"/>
  <c r="CO112" i="3"/>
  <c r="CP112" i="3" s="1"/>
  <c r="CO113" i="3"/>
  <c r="CP113" i="3" s="1"/>
  <c r="CO114" i="3"/>
  <c r="CP114" i="3" s="1"/>
  <c r="CO115" i="3"/>
  <c r="CP115" i="3" s="1"/>
  <c r="CO116" i="3"/>
  <c r="CO117" i="3"/>
  <c r="CO118" i="3"/>
  <c r="CP118" i="3" s="1"/>
  <c r="CO8" i="3"/>
  <c r="CP8" i="3" s="1"/>
  <c r="R25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R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R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R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R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R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R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R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R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R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R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C14" i="6"/>
  <c r="BE125" i="3"/>
  <c r="BF125" i="3"/>
  <c r="BD125" i="3"/>
  <c r="AP125" i="3"/>
  <c r="CP125" i="3" s="1"/>
  <c r="AP121" i="3"/>
  <c r="CP121" i="3" s="1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B119" i="3"/>
  <c r="AR125" i="3"/>
  <c r="AS125" i="3"/>
  <c r="AT125" i="3"/>
  <c r="AU125" i="3"/>
  <c r="AV125" i="3"/>
  <c r="AW125" i="3"/>
  <c r="AX125" i="3"/>
  <c r="AY125" i="3"/>
  <c r="AZ125" i="3"/>
  <c r="BA125" i="3"/>
  <c r="BB125" i="3"/>
  <c r="AQ125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AP120" i="3"/>
  <c r="CQ45" i="3" l="1"/>
  <c r="CR45" i="3" s="1"/>
  <c r="CO121" i="3"/>
  <c r="CO120" i="3"/>
  <c r="CP120" i="3" s="1"/>
  <c r="CO125" i="3"/>
  <c r="N14" i="6"/>
  <c r="M14" i="6"/>
  <c r="L14" i="6"/>
  <c r="J14" i="6"/>
  <c r="I14" i="6"/>
  <c r="H14" i="6"/>
  <c r="G14" i="6"/>
  <c r="D14" i="6"/>
  <c r="B14" i="6"/>
  <c r="E14" i="6"/>
  <c r="F14" i="6" l="1"/>
  <c r="A117" i="3"/>
  <c r="A116" i="3"/>
  <c r="A106" i="3"/>
  <c r="A101" i="3"/>
  <c r="A98" i="3"/>
  <c r="A90" i="3"/>
  <c r="A89" i="3"/>
  <c r="A87" i="3"/>
  <c r="J129" i="3"/>
  <c r="BB129" i="3"/>
  <c r="AX129" i="3"/>
  <c r="AV129" i="3"/>
  <c r="AS129" i="3"/>
  <c r="AR129" i="3"/>
  <c r="Q129" i="3"/>
  <c r="O129" i="3"/>
  <c r="M129" i="3"/>
  <c r="K129" i="3"/>
  <c r="I129" i="3"/>
  <c r="G129" i="3"/>
  <c r="A83" i="3"/>
  <c r="A81" i="3"/>
  <c r="A79" i="3"/>
  <c r="A77" i="3"/>
  <c r="A76" i="3"/>
  <c r="A74" i="3"/>
  <c r="A73" i="3"/>
  <c r="BB128" i="3"/>
  <c r="AZ128" i="3"/>
  <c r="AY128" i="3"/>
  <c r="AX128" i="3"/>
  <c r="AW128" i="3"/>
  <c r="AV128" i="3"/>
  <c r="AT128" i="3"/>
  <c r="AS128" i="3"/>
  <c r="AR128" i="3"/>
  <c r="AQ128" i="3"/>
  <c r="AI128" i="3"/>
  <c r="AG128" i="3"/>
  <c r="AF128" i="3"/>
  <c r="AE128" i="3"/>
  <c r="AD128" i="3"/>
  <c r="AC128" i="3"/>
  <c r="AA128" i="3"/>
  <c r="Z128" i="3"/>
  <c r="Y128" i="3"/>
  <c r="X128" i="3"/>
  <c r="Q128" i="3"/>
  <c r="O128" i="3"/>
  <c r="N128" i="3"/>
  <c r="M128" i="3"/>
  <c r="L128" i="3"/>
  <c r="K128" i="3"/>
  <c r="I128" i="3"/>
  <c r="H128" i="3"/>
  <c r="G128" i="3"/>
  <c r="F128" i="3"/>
  <c r="A71" i="3"/>
  <c r="A70" i="3"/>
  <c r="A69" i="3"/>
  <c r="A68" i="3"/>
  <c r="BD127" i="3"/>
  <c r="BB127" i="3"/>
  <c r="BA127" i="3"/>
  <c r="AZ127" i="3"/>
  <c r="AY127" i="3"/>
  <c r="AW127" i="3"/>
  <c r="AV127" i="3"/>
  <c r="AU127" i="3"/>
  <c r="AT127" i="3"/>
  <c r="AS127" i="3"/>
  <c r="AQ127" i="3"/>
  <c r="AI127" i="3"/>
  <c r="AH127" i="3"/>
  <c r="AG127" i="3"/>
  <c r="AF127" i="3"/>
  <c r="AD127" i="3"/>
  <c r="AC127" i="3"/>
  <c r="AB127" i="3"/>
  <c r="AA127" i="3"/>
  <c r="Z127" i="3"/>
  <c r="X127" i="3"/>
  <c r="Q127" i="3"/>
  <c r="P127" i="3"/>
  <c r="O127" i="3"/>
  <c r="N127" i="3"/>
  <c r="L127" i="3"/>
  <c r="K127" i="3"/>
  <c r="J127" i="3"/>
  <c r="I127" i="3"/>
  <c r="H127" i="3"/>
  <c r="F127" i="3"/>
  <c r="A64" i="3"/>
  <c r="A63" i="3"/>
  <c r="AI126" i="3"/>
  <c r="AH126" i="3"/>
  <c r="AG126" i="3"/>
  <c r="AF126" i="3"/>
  <c r="AE126" i="3"/>
  <c r="AC126" i="3"/>
  <c r="AB126" i="3"/>
  <c r="AA126" i="3"/>
  <c r="Z126" i="3"/>
  <c r="Y126" i="3"/>
  <c r="Q126" i="3"/>
  <c r="P126" i="3"/>
  <c r="O126" i="3"/>
  <c r="N126" i="3"/>
  <c r="M126" i="3"/>
  <c r="K126" i="3"/>
  <c r="I126" i="3"/>
  <c r="H126" i="3"/>
  <c r="G126" i="3"/>
  <c r="A58" i="3"/>
  <c r="A56" i="3"/>
  <c r="A55" i="3"/>
  <c r="AI125" i="3"/>
  <c r="AH125" i="3"/>
  <c r="AG125" i="3"/>
  <c r="AF125" i="3"/>
  <c r="AD125" i="3"/>
  <c r="AC125" i="3"/>
  <c r="AB125" i="3"/>
  <c r="AA125" i="3"/>
  <c r="Z125" i="3"/>
  <c r="X125" i="3"/>
  <c r="Q125" i="3"/>
  <c r="P125" i="3"/>
  <c r="O125" i="3"/>
  <c r="N125" i="3"/>
  <c r="L125" i="3"/>
  <c r="K125" i="3"/>
  <c r="J125" i="3"/>
  <c r="I125" i="3"/>
  <c r="H125" i="3"/>
  <c r="F125" i="3"/>
  <c r="AC124" i="3"/>
  <c r="K124" i="3"/>
  <c r="A42" i="3"/>
  <c r="AF123" i="3"/>
  <c r="Z123" i="3"/>
  <c r="AI124" i="3"/>
  <c r="Y124" i="3"/>
  <c r="Q124" i="3"/>
  <c r="P124" i="3"/>
  <c r="BA123" i="3"/>
  <c r="AZ123" i="3"/>
  <c r="AY123" i="3"/>
  <c r="AX123" i="3"/>
  <c r="AW123" i="3"/>
  <c r="AU123" i="3"/>
  <c r="AS123" i="3"/>
  <c r="AR123" i="3"/>
  <c r="AQ123" i="3"/>
  <c r="AH123" i="3"/>
  <c r="AE123" i="3"/>
  <c r="AB123" i="3"/>
  <c r="Y123" i="3"/>
  <c r="P123" i="3"/>
  <c r="O123" i="3"/>
  <c r="M123" i="3"/>
  <c r="L123" i="3"/>
  <c r="J123" i="3"/>
  <c r="I123" i="3"/>
  <c r="G123" i="3"/>
  <c r="F123" i="3"/>
  <c r="A24" i="3"/>
  <c r="AX124" i="3"/>
  <c r="AE124" i="3"/>
  <c r="M124" i="3"/>
  <c r="BB122" i="3"/>
  <c r="AV124" i="3"/>
  <c r="AR124" i="3"/>
  <c r="AY122" i="3"/>
  <c r="AX122" i="3"/>
  <c r="AS122" i="3"/>
  <c r="AI122" i="3"/>
  <c r="AG122" i="3"/>
  <c r="AF122" i="3"/>
  <c r="AE122" i="3"/>
  <c r="AC122" i="3"/>
  <c r="AA122" i="3"/>
  <c r="Z122" i="3"/>
  <c r="Y122" i="3"/>
  <c r="Q122" i="3"/>
  <c r="P122" i="3"/>
  <c r="O122" i="3"/>
  <c r="N122" i="3"/>
  <c r="M122" i="3"/>
  <c r="K122" i="3"/>
  <c r="J122" i="3"/>
  <c r="I122" i="3"/>
  <c r="H122" i="3"/>
  <c r="G122" i="3"/>
  <c r="A13" i="3"/>
  <c r="E107" i="2"/>
  <c r="E95" i="2"/>
  <c r="K14" i="6" l="1"/>
  <c r="W128" i="3"/>
  <c r="A80" i="3"/>
  <c r="A27" i="3"/>
  <c r="A19" i="3"/>
  <c r="E128" i="3"/>
  <c r="Y119" i="3"/>
  <c r="A34" i="3"/>
  <c r="AC123" i="3"/>
  <c r="AR122" i="3"/>
  <c r="AP126" i="3"/>
  <c r="BE126" i="3"/>
  <c r="BC126" i="3"/>
  <c r="AX119" i="3"/>
  <c r="AC119" i="3"/>
  <c r="A38" i="3"/>
  <c r="Q123" i="3"/>
  <c r="G124" i="3"/>
  <c r="AG123" i="3"/>
  <c r="AY119" i="3"/>
  <c r="AH122" i="3"/>
  <c r="AV119" i="3"/>
  <c r="K123" i="3"/>
  <c r="AI123" i="3"/>
  <c r="AI119" i="3"/>
  <c r="G127" i="3"/>
  <c r="D127" i="3"/>
  <c r="M127" i="3"/>
  <c r="V128" i="3"/>
  <c r="AB128" i="3"/>
  <c r="AH128" i="3"/>
  <c r="AF129" i="3"/>
  <c r="AF120" i="3"/>
  <c r="AB119" i="3"/>
  <c r="A16" i="3"/>
  <c r="A20" i="3"/>
  <c r="BA122" i="3"/>
  <c r="A37" i="3"/>
  <c r="AV123" i="3"/>
  <c r="BB123" i="3"/>
  <c r="AA129" i="3"/>
  <c r="AA120" i="3"/>
  <c r="AU124" i="3"/>
  <c r="BC123" i="3"/>
  <c r="BB124" i="3"/>
  <c r="G125" i="3"/>
  <c r="M125" i="3"/>
  <c r="A57" i="3"/>
  <c r="Y127" i="3"/>
  <c r="AE127" i="3"/>
  <c r="A75" i="3"/>
  <c r="AY129" i="3"/>
  <c r="H129" i="3"/>
  <c r="N129" i="3"/>
  <c r="P129" i="3"/>
  <c r="BE123" i="3"/>
  <c r="A40" i="3"/>
  <c r="Z124" i="3"/>
  <c r="AF124" i="3"/>
  <c r="Y125" i="3"/>
  <c r="AE125" i="3"/>
  <c r="F126" i="3"/>
  <c r="L126" i="3"/>
  <c r="AR127" i="3"/>
  <c r="AX127" i="3"/>
  <c r="BE127" i="3"/>
  <c r="AU128" i="3"/>
  <c r="BA128" i="3"/>
  <c r="AU122" i="3"/>
  <c r="N123" i="3"/>
  <c r="BF123" i="3"/>
  <c r="A62" i="3"/>
  <c r="A65" i="3"/>
  <c r="A78" i="3"/>
  <c r="A92" i="3"/>
  <c r="A30" i="3"/>
  <c r="A31" i="3"/>
  <c r="A32" i="3"/>
  <c r="A35" i="3"/>
  <c r="AT123" i="3"/>
  <c r="BD123" i="3"/>
  <c r="X126" i="3"/>
  <c r="W126" i="3"/>
  <c r="AD126" i="3"/>
  <c r="D128" i="3"/>
  <c r="J128" i="3"/>
  <c r="P128" i="3"/>
  <c r="AI129" i="3"/>
  <c r="AI120" i="3"/>
  <c r="Z129" i="3"/>
  <c r="Z120" i="3"/>
  <c r="AS124" i="3"/>
  <c r="AY124" i="3"/>
  <c r="D123" i="3"/>
  <c r="H124" i="3"/>
  <c r="N124" i="3"/>
  <c r="J124" i="3"/>
  <c r="AB124" i="3"/>
  <c r="BD126" i="3"/>
  <c r="AT129" i="3"/>
  <c r="A85" i="3"/>
  <c r="A94" i="3"/>
  <c r="A96" i="3"/>
  <c r="A53" i="3"/>
  <c r="BF127" i="3"/>
  <c r="BC128" i="3"/>
  <c r="AC129" i="3"/>
  <c r="AC120" i="3"/>
  <c r="A86" i="3"/>
  <c r="A91" i="3"/>
  <c r="D125" i="3"/>
  <c r="BF126" i="3"/>
  <c r="BD128" i="3"/>
  <c r="AE129" i="3"/>
  <c r="AE120" i="3"/>
  <c r="W125" i="3"/>
  <c r="J126" i="3"/>
  <c r="W127" i="3"/>
  <c r="AP127" i="3"/>
  <c r="BE128" i="3"/>
  <c r="A82" i="3"/>
  <c r="Y129" i="3"/>
  <c r="Y120" i="3"/>
  <c r="A99" i="3"/>
  <c r="BC125" i="3"/>
  <c r="BC127" i="3"/>
  <c r="A72" i="3"/>
  <c r="BF128" i="3"/>
  <c r="AG129" i="3"/>
  <c r="AG120" i="3"/>
  <c r="AU129" i="3"/>
  <c r="BA129" i="3"/>
  <c r="A88" i="3"/>
  <c r="A95" i="3"/>
  <c r="A104" i="3"/>
  <c r="A112" i="3"/>
  <c r="A107" i="3"/>
  <c r="A108" i="3"/>
  <c r="A113" i="3"/>
  <c r="A105" i="3"/>
  <c r="A110" i="3"/>
  <c r="CP127" i="3" l="1"/>
  <c r="CO127" i="3"/>
  <c r="CO126" i="3"/>
  <c r="CP126" i="3"/>
  <c r="CO128" i="3"/>
  <c r="CP128" i="3" s="1"/>
  <c r="R14" i="6"/>
  <c r="O14" i="6"/>
  <c r="AP123" i="3"/>
  <c r="BA124" i="3"/>
  <c r="BA119" i="3"/>
  <c r="H119" i="3"/>
  <c r="H3" i="3"/>
  <c r="AF119" i="3"/>
  <c r="AA123" i="3"/>
  <c r="A15" i="3"/>
  <c r="X123" i="3"/>
  <c r="W123" i="3"/>
  <c r="E125" i="3"/>
  <c r="A54" i="3"/>
  <c r="BD129" i="3"/>
  <c r="AV122" i="3"/>
  <c r="AU119" i="3"/>
  <c r="AT122" i="3"/>
  <c r="BD122" i="3"/>
  <c r="L122" i="3"/>
  <c r="A44" i="3"/>
  <c r="Z119" i="3"/>
  <c r="AB129" i="3"/>
  <c r="AB120" i="3"/>
  <c r="AZ129" i="3"/>
  <c r="BF129" i="3"/>
  <c r="AW129" i="3"/>
  <c r="BE129" i="3"/>
  <c r="AD120" i="3"/>
  <c r="AD129" i="3"/>
  <c r="L129" i="3"/>
  <c r="AA124" i="3"/>
  <c r="E126" i="3"/>
  <c r="A61" i="3"/>
  <c r="AR119" i="3"/>
  <c r="A41" i="3"/>
  <c r="I124" i="3"/>
  <c r="AE119" i="3"/>
  <c r="X122" i="3"/>
  <c r="W122" i="3"/>
  <c r="A49" i="3"/>
  <c r="AB122" i="3"/>
  <c r="AQ122" i="3"/>
  <c r="BC122" i="3"/>
  <c r="AP122" i="3"/>
  <c r="A17" i="3"/>
  <c r="A14" i="3"/>
  <c r="A10" i="3"/>
  <c r="A52" i="3"/>
  <c r="A26" i="3"/>
  <c r="A22" i="3"/>
  <c r="AW122" i="3"/>
  <c r="BE122" i="3"/>
  <c r="AH124" i="3"/>
  <c r="AQ129" i="3"/>
  <c r="BC129" i="3"/>
  <c r="AP129" i="3"/>
  <c r="A103" i="3"/>
  <c r="X120" i="3"/>
  <c r="X129" i="3"/>
  <c r="W129" i="3"/>
  <c r="A102" i="3"/>
  <c r="A97" i="3"/>
  <c r="F129" i="3"/>
  <c r="D129" i="3"/>
  <c r="V126" i="3"/>
  <c r="H123" i="3"/>
  <c r="A93" i="3"/>
  <c r="AQ124" i="3"/>
  <c r="AD123" i="3"/>
  <c r="A48" i="3"/>
  <c r="AS119" i="3"/>
  <c r="A9" i="3"/>
  <c r="AG124" i="3"/>
  <c r="V127" i="3"/>
  <c r="F122" i="3"/>
  <c r="D122" i="3"/>
  <c r="AZ122" i="3"/>
  <c r="BF122" i="3"/>
  <c r="A23" i="3"/>
  <c r="A25" i="3"/>
  <c r="V125" i="3"/>
  <c r="O124" i="3"/>
  <c r="E127" i="3"/>
  <c r="A67" i="3"/>
  <c r="AH129" i="3"/>
  <c r="AH120" i="3"/>
  <c r="A100" i="3"/>
  <c r="AD122" i="3"/>
  <c r="AW124" i="3"/>
  <c r="BE124" i="3"/>
  <c r="A12" i="3"/>
  <c r="A51" i="3"/>
  <c r="A50" i="3"/>
  <c r="A21" i="3"/>
  <c r="CP122" i="3" l="1"/>
  <c r="CO122" i="3"/>
  <c r="CP123" i="3"/>
  <c r="CO123" i="3"/>
  <c r="A46" i="3"/>
  <c r="E123" i="3"/>
  <c r="A39" i="3"/>
  <c r="AT124" i="3"/>
  <c r="BD124" i="3"/>
  <c r="A45" i="3"/>
  <c r="F124" i="3"/>
  <c r="E122" i="3"/>
  <c r="A18" i="3"/>
  <c r="BC124" i="3"/>
  <c r="E129" i="3"/>
  <c r="A84" i="3"/>
  <c r="V129" i="3"/>
  <c r="A66" i="3"/>
  <c r="A36" i="3"/>
  <c r="D126" i="3"/>
  <c r="AP124" i="3"/>
  <c r="AZ124" i="3"/>
  <c r="BF124" i="3"/>
  <c r="L124" i="3"/>
  <c r="D124" i="3"/>
  <c r="V123" i="3"/>
  <c r="A33" i="3"/>
  <c r="G119" i="3"/>
  <c r="A11" i="3"/>
  <c r="AD124" i="3"/>
  <c r="X124" i="3"/>
  <c r="W124" i="3"/>
  <c r="A114" i="3"/>
  <c r="V122" i="3"/>
  <c r="CP124" i="3" l="1"/>
  <c r="CO124" i="3"/>
  <c r="A43" i="3"/>
  <c r="A29" i="3"/>
  <c r="A8" i="3"/>
  <c r="V124" i="3"/>
  <c r="G3" i="3"/>
  <c r="E124" i="3"/>
  <c r="A47" i="3"/>
  <c r="AQ119" i="3" l="1"/>
  <c r="A28" i="3"/>
  <c r="AG119" i="3"/>
  <c r="AW119" i="3"/>
  <c r="A111" i="3" l="1"/>
  <c r="A115" i="3"/>
  <c r="AD119" i="3" l="1"/>
  <c r="F119" i="3"/>
  <c r="F3" i="3"/>
  <c r="AT119" i="3"/>
  <c r="AA119" i="3"/>
  <c r="AH119" i="3"/>
  <c r="AZ119" i="3"/>
  <c r="X119" i="3"/>
  <c r="AK119" i="3"/>
  <c r="CP119" i="3" l="1"/>
  <c r="CO119" i="3"/>
  <c r="W119" i="3"/>
  <c r="A1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OCH_LNV</author>
    <author>Mr. THANH</author>
  </authors>
  <commentList>
    <comment ref="BG38" authorId="0" shapeId="0" xr:uid="{F1324AD4-9A95-4F34-B6B2-9D231C7A3EF0}">
      <text>
        <r>
          <rPr>
            <b/>
            <sz val="9"/>
            <color indexed="81"/>
            <rFont val="Tahoma"/>
            <family val="2"/>
          </rPr>
          <t>OCH_LNV:</t>
        </r>
        <r>
          <rPr>
            <sz val="9"/>
            <color indexed="81"/>
            <rFont val="Tahoma"/>
            <family val="2"/>
          </rPr>
          <t xml:space="preserve">
Bán qua OCC: 513 tr</t>
        </r>
      </text>
    </comment>
    <comment ref="BX38" authorId="0" shapeId="0" xr:uid="{61B4CB40-0442-403B-B588-7560119F75B8}">
      <text>
        <r>
          <rPr>
            <b/>
            <sz val="9"/>
            <color indexed="81"/>
            <rFont val="Tahoma"/>
            <family val="2"/>
          </rPr>
          <t>OCH_LNV:</t>
        </r>
        <r>
          <rPr>
            <sz val="9"/>
            <color indexed="81"/>
            <rFont val="Tahoma"/>
            <family val="2"/>
          </rPr>
          <t xml:space="preserve">
Bán qua OCC: 513 tr</t>
        </r>
      </text>
    </comment>
    <comment ref="D71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Vay ms Trang cuối năm 2024</t>
        </r>
      </text>
    </comment>
    <comment ref="D82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OTL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adole</author>
  </authors>
  <commentList>
    <comment ref="AR3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20/10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dự kiến thêm nhân sự đại hội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3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dự kiến thêm nhân sự đại hội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Q3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dự kiến thêm nhân sự đại hội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5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2025 hạch toán thẳng không qua phân bổ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M5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2025 hạch toán thẳng không qua phân bổ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O5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2025 hạch toán thẳng không qua phân bổ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60" authorId="1" shapeId="0" xr:uid="{00000000-0006-0000-0100-000008000000}">
      <text>
        <r>
          <rPr>
            <sz val="9"/>
            <color indexed="81"/>
            <rFont val="Tahoma"/>
            <family val="2"/>
          </rPr>
          <t>đăng ký, duy trì tên miền onecapitalconsumer.vn</t>
        </r>
      </text>
    </comment>
    <comment ref="BK60" authorId="1" shapeId="0" xr:uid="{00000000-0006-0000-0100-000009000000}">
      <text>
        <r>
          <rPr>
            <sz val="9"/>
            <color indexed="81"/>
            <rFont val="Tahoma"/>
            <family val="2"/>
          </rPr>
          <t>đăng ký, duy trì tên miền onecapitalconsumer.vn</t>
        </r>
      </text>
    </comment>
    <comment ref="CM60" authorId="1" shapeId="0" xr:uid="{00000000-0006-0000-0100-00000A000000}">
      <text>
        <r>
          <rPr>
            <sz val="9"/>
            <color indexed="81"/>
            <rFont val="Tahoma"/>
            <family val="2"/>
          </rPr>
          <t>đăng ký, duy trì tên miền onecapitalconsumer.vn</t>
        </r>
      </text>
    </comment>
    <comment ref="V61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CKS kế toán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61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CKS nhân sự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L61" authorId="1" shapeId="0" xr:uid="{00000000-0006-0000-0100-00000D000000}">
      <text>
        <r>
          <rPr>
            <b/>
            <sz val="9"/>
            <color indexed="81"/>
            <rFont val="Tahoma"/>
            <family val="2"/>
          </rPr>
          <t>CKS kế toán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P61" authorId="1" shapeId="0" xr:uid="{00000000-0006-0000-0100-00000E000000}">
      <text>
        <r>
          <rPr>
            <b/>
            <sz val="9"/>
            <color indexed="81"/>
            <rFont val="Tahoma"/>
            <family val="2"/>
          </rPr>
          <t>CKS nhân sự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N61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>CKS kế toán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R61" authorId="1" shapeId="0" xr:uid="{00000000-0006-0000-0100-000010000000}">
      <text>
        <r>
          <rPr>
            <b/>
            <sz val="9"/>
            <color indexed="81"/>
            <rFont val="Tahoma"/>
            <family val="2"/>
          </rPr>
          <t>CKS nhân sự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0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in ấn và TK BC thường niên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110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in ấn và TK BC thường niên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110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in ấn và TK BC thường niên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<sst xmlns="http://schemas.openxmlformats.org/spreadsheetml/2006/main" count="1365" uniqueCount="501">
  <si>
    <t>THỰC HIỆN NĂM 2025</t>
  </si>
  <si>
    <t>KẾ HOẠCH NĂM 2025</t>
  </si>
  <si>
    <t>THỰC HIỆN NĂM 2024</t>
  </si>
  <si>
    <t>NĂM 2025</t>
  </si>
  <si>
    <t>NĂM 2024</t>
  </si>
  <si>
    <t>CT</t>
  </si>
  <si>
    <t>9. Chi phí quản lý doanh nghiệp</t>
  </si>
  <si>
    <t>1+2+3+4+5</t>
  </si>
  <si>
    <t>Lương và phúc lơi</t>
  </si>
  <si>
    <t>Chi phí lương hàng tháng, lương tháng 13, thưởng tết</t>
  </si>
  <si>
    <t>Lương theo ngày công</t>
  </si>
  <si>
    <t>Tháng 1 nghỉ 1 nhân sự, Tháng 2 và 3: nhân sự nghỉ sinh đi làm lại, bớt 2 nhân sự HNB và thêm 1 nhân sự khách sạn và chưa gồm lương TGĐ;Tháng 5+6 thêm 1 nhân sự Franchise, phân bổ lương PTGĐ sang OGC 30 tr, chuyển R&amp;D và Franchise sang OCC từ tháng 7/25</t>
  </si>
  <si>
    <t>Tháng lương thứ 13</t>
  </si>
  <si>
    <t>Chi phí phụ cấp Công tác phí</t>
  </si>
  <si>
    <t>Thưởng Tết âm lịch</t>
  </si>
  <si>
    <t>KH nhân sự tại 31/12/24 là 28 người và 8 TV HĐQT BKS</t>
  </si>
  <si>
    <t>Lương thâm niên</t>
  </si>
  <si>
    <t>Thâm niên 2023 trả vào 2024</t>
  </si>
  <si>
    <t>Thưởng Tết dương lịch</t>
  </si>
  <si>
    <t>Thưởng 8/3</t>
  </si>
  <si>
    <t>2024 là 9 triệu chi bằng quỹ phúc lợi</t>
  </si>
  <si>
    <t>Thưởng 30/04-1/5</t>
  </si>
  <si>
    <t xml:space="preserve">Sinh nhật CBNV </t>
  </si>
  <si>
    <t>Thưởng 2/9</t>
  </si>
  <si>
    <t>Thưởng 20/10</t>
  </si>
  <si>
    <t>Các khoản trích theo lương: BHXH. BHYT. KP Công Đoàn</t>
  </si>
  <si>
    <t>Bảo hiểm (DN)</t>
  </si>
  <si>
    <t>Công đoàn (DN)</t>
  </si>
  <si>
    <t>Chi phí phúc lợi khác (du lịch, quà tết…)</t>
  </si>
  <si>
    <t>Quà Tết trung thu</t>
  </si>
  <si>
    <t>Quà tặng khác cho CBNV (tết)</t>
  </si>
  <si>
    <t>Chi phí du lịch cho CBNV</t>
  </si>
  <si>
    <t>lấy theo định mức 2023 9 tr/ người đi Hạ Long * số lượng 28 người</t>
  </si>
  <si>
    <t>Sinh nhật tháng, quý</t>
  </si>
  <si>
    <t>Chi phí tổ chức Noel, Tết Dương lịch, khai xuân</t>
  </si>
  <si>
    <t>Chi phí tổ chức tiệc cuối năm âm lịch</t>
  </si>
  <si>
    <t>Chi phí tổ chức 20/10, 8/3</t>
  </si>
  <si>
    <t>Chi phí tổ chức 20/10</t>
  </si>
  <si>
    <t>Thù lao HDQT, BKS, Đại diện vốn, Thuê chuyên gia</t>
  </si>
  <si>
    <t>Thù lao HĐQT, BKS</t>
  </si>
  <si>
    <t>Thù lao HĐQT, BKS- Các khoản chi bổ sung</t>
  </si>
  <si>
    <t>Thù lao HĐQT, BKS- Các khoản chi bổ sung 8/3, 20/10, 2/9,30/4-1/5,2/9, tết âm, tết dương</t>
  </si>
  <si>
    <t>Do 30/4-1/5 trả sau vào tháng 8/24
Thưởng tết âm lịch 16 tr, tết dương lịch 16 tr</t>
  </si>
  <si>
    <t>HĐ mùa vụ (Mr Vinh, Ms Ngọc,...)</t>
  </si>
  <si>
    <t>2024 có 5 người, 2025 gồm 2 người a Vinh và a Danh; tháng 5 thêm nhân sự đại hội</t>
  </si>
  <si>
    <t>Chi phí vật liệu quản lý và đồ dùng VP</t>
  </si>
  <si>
    <t>Chi phí CCDC, đồ dùng văn phòng</t>
  </si>
  <si>
    <t>PB/CCDC
Dự kiến phát sinh mới 1 máy tính 20 tr</t>
  </si>
  <si>
    <t>Chi phí sửa chữa, nâng cấp VP, sửa chữa nhỏ</t>
  </si>
  <si>
    <t>PB/CCDC</t>
  </si>
  <si>
    <t>Chi phí khấu hao TSCĐ</t>
  </si>
  <si>
    <t>PB</t>
  </si>
  <si>
    <t>Thuế, phí và lệ phí:</t>
  </si>
  <si>
    <t>Phí giao dịch ngân hàng</t>
  </si>
  <si>
    <t>Thuế môn bài</t>
  </si>
  <si>
    <t xml:space="preserve">Văn Phòng Phẩm </t>
  </si>
  <si>
    <t>Chuyển Phát Nhanh, photo, công chứng</t>
  </si>
  <si>
    <t>Chuyển Phát Nhanh</t>
  </si>
  <si>
    <t>Thuê máy photo/ photo/in ấn</t>
  </si>
  <si>
    <t>Thuê cây văn phòng</t>
  </si>
  <si>
    <t xml:space="preserve">Điện thoại </t>
  </si>
  <si>
    <t>Chi phí máy chủ, phần mềm,email, cáp quang…</t>
  </si>
  <si>
    <t>Thuê máy chủ VPS&amp;Chứng chỉ số SSL cho website: och.vn</t>
  </si>
  <si>
    <t>Bảo trì phần mềm Bravo 7.0</t>
  </si>
  <si>
    <t>Bản quyền phần mềm Kaspersky</t>
  </si>
  <si>
    <t>Phần mềm Base Office</t>
  </si>
  <si>
    <t>email có tên miền och.vn</t>
  </si>
  <si>
    <t>Đường truyền cấp quang</t>
  </si>
  <si>
    <t>dịch vụ SpeedMaint cloud (ngưng dùng từ 2024)</t>
  </si>
  <si>
    <t>business hosting - business 2: onecapitalconsumer.vn</t>
  </si>
  <si>
    <t>Nâng cấp phần mềm kế toán</t>
  </si>
  <si>
    <t>Chi phí duy trì tên miền och.vn</t>
  </si>
  <si>
    <t>Đã gia hạn từ 6/8/24-6/8/27 nên không phát sinh năm 2025, PB</t>
  </si>
  <si>
    <t>Chi phí liên quan đến website och (nâng cấp, thiết kế lại)</t>
  </si>
  <si>
    <t>Chi phí liên quan đến website och (nâng cấp, xây mới)</t>
  </si>
  <si>
    <t>Dự kiến làm mới website och tháng 4/25 giá 49.5 triệu, PB</t>
  </si>
  <si>
    <t>Chi phí CNTT khác</t>
  </si>
  <si>
    <t>Chữ ký số Efly-BHXH, VNPT</t>
  </si>
  <si>
    <t>CP điện, nước</t>
  </si>
  <si>
    <t>Chi phí điện, điều hòa</t>
  </si>
  <si>
    <t>Chi phí nước uống VP, nước sinh hoạt</t>
  </si>
  <si>
    <t>Chi phí thuê VP, thuê mặt bằng</t>
  </si>
  <si>
    <t>Thuê văn phòng</t>
  </si>
  <si>
    <t>CP dịch vụ văn phòng</t>
  </si>
  <si>
    <t>Chi phí khám sức khỏe, bảo hiểm sức khỏe</t>
  </si>
  <si>
    <t>Chi phí khám sức khỏe hằng năm cho CBNV</t>
  </si>
  <si>
    <t>Gói bảo hiểm sức khỏe</t>
  </si>
  <si>
    <t>Chi phí thuê xe VP,taxi, sửa chữa, bảo hiểm, xăng xe VP</t>
  </si>
  <si>
    <t>Chi phí vận hành xe ô tô VP (xăng, rửa xe, bảo dưỡng…)</t>
  </si>
  <si>
    <t>Chi phí vận hành xe ô tô VP (xăng, rửa xe, gửi xe…)</t>
  </si>
  <si>
    <t>28 tr/ tháng</t>
  </si>
  <si>
    <t>27b</t>
  </si>
  <si>
    <t>Bảo hiểm/ đăng kiểm xe ô tô</t>
  </si>
  <si>
    <t>PB+</t>
  </si>
  <si>
    <t>27c</t>
  </si>
  <si>
    <t>Bảo dưỡng, thay dầu, sửa chữa</t>
  </si>
  <si>
    <t>27d</t>
  </si>
  <si>
    <t>Chi phí Grab</t>
  </si>
  <si>
    <t>Chi phí gửi xe</t>
  </si>
  <si>
    <t>Chi phí kiểm toán</t>
  </si>
  <si>
    <t>Chi phí vé máy bay công tác, đi lại, tiền phòng đi công tác</t>
  </si>
  <si>
    <t>Chi phí tiếp khách, ngoại giao</t>
  </si>
  <si>
    <t>Chi phí tiếp khách, ngoại giao BLĐ</t>
  </si>
  <si>
    <t>Chi phí tiếp khách, ngoại giao BTGĐ- OCH
Chi phí tiếp khách, ngoại giao BLĐ- Khác</t>
  </si>
  <si>
    <t>Chi phí đối ngoại phòng Marcom</t>
  </si>
  <si>
    <t>- Ngoại giao ngày báo chí ngày Báo chí CMVN 21/6: 45 triệu
-Chi phí mua quà tặng đối tác nhân ngày trung thu (Sở ban ngành, báo chí): 70 triệu
- Ngoại giao dịp Tết Nguyên đán 2026 (Sở ban ngành, báo chí...): 190 triệu
- Chi phí ngoại giao hàng tháng: 2tr/ tháng, 24tr/năm</t>
  </si>
  <si>
    <t>Chi phí đối ngoại phòng pháp chế</t>
  </si>
  <si>
    <t>Chi phí đối ngoại HCNS</t>
  </si>
  <si>
    <t>Chi phí đối ngoại phòng Kế toán</t>
  </si>
  <si>
    <t>Chi phí đối ngoại VP</t>
  </si>
  <si>
    <t>Chi phí quà chiều, chi phí hành chính khác</t>
  </si>
  <si>
    <t>Chi phí quà chiều</t>
  </si>
  <si>
    <t xml:space="preserve">Chi phí Hành chính + Cúng rằm 1/15, mua hoa lễ tân </t>
  </si>
  <si>
    <t>Chi phí tổ chức ĐHĐCĐ và các CP liên quan</t>
  </si>
  <si>
    <t>Chi phí niêm yết HNX</t>
  </si>
  <si>
    <t>Chi phí tổ chức ĐHĐCĐ thường niên</t>
  </si>
  <si>
    <t>Chi phí chốt Danh sách cổ đông</t>
  </si>
  <si>
    <t>CP Dịch vụ bảo vệ</t>
  </si>
  <si>
    <t>Chi phí báo chí sự kiện Đại hội cổ đông OCH</t>
  </si>
  <si>
    <t>Chi phí tổ chức ĐHĐCĐ phát sinh khác</t>
  </si>
  <si>
    <t>Chi phí đào tạo, tuyển dụng</t>
  </si>
  <si>
    <t>Chi phí tuyển dụng nhân sự</t>
  </si>
  <si>
    <t>Chi phí đào tạo</t>
  </si>
  <si>
    <t>Chi phí quảng cáo, tiếp thị, marcom</t>
  </si>
  <si>
    <t>Chi phí dịch vụ xây dựng chiến lược định vị thương hiệu</t>
  </si>
  <si>
    <t>Chi phí viết + đăng bài PR trên báo chí hàng tháng</t>
  </si>
  <si>
    <t xml:space="preserve"> Dự phòng Ngân sách xử lý khủng hoảng truyền thông</t>
  </si>
  <si>
    <t>Hợp đồng hợp tác truyền thông với các báo</t>
  </si>
  <si>
    <t>Chi phí Hợp đồng tài trợ với HNB</t>
  </si>
  <si>
    <t>Các loại chi phí dịch vụ mua ngoài khác (tư vấn, thuê ngoài…)</t>
  </si>
  <si>
    <t>tài khoản thư viện pháp luật</t>
  </si>
  <si>
    <t>Dịch vụ tư vấn đầu tư</t>
  </si>
  <si>
    <t>Phân bổ công cụ dụng cụ- phí tư vấn và tái cấu trúc DN</t>
  </si>
  <si>
    <t>Chi phí pháp chế khác (dịch vụ sở hữu trí tuệ…)</t>
  </si>
  <si>
    <t>Tư vấn, thuê ngoài (thẩm định giá…)</t>
  </si>
  <si>
    <t>Phí quản lý condotel</t>
  </si>
  <si>
    <t>Chi phí khác (phạt, xử lý nợ khó đòi…)</t>
  </si>
  <si>
    <t>CÔNG TY CỔ PHẦN ONE CAPITAL HOSPITALITY</t>
  </si>
  <si>
    <t>Lọc</t>
  </si>
  <si>
    <t>TÊN CHỈ TIÊU</t>
  </si>
  <si>
    <t>THỰC HIỆN</t>
  </si>
  <si>
    <t xml:space="preserve">KẾ HOẠCH </t>
  </si>
  <si>
    <t>Tỷ lệ % 2025/ 2024</t>
  </si>
  <si>
    <t>THỰC HIỆN KH SXKD 2025</t>
  </si>
  <si>
    <t>Lũy kế 2024</t>
  </si>
  <si>
    <t>QUÝ I</t>
  </si>
  <si>
    <t>QUÝ II</t>
  </si>
  <si>
    <t>QUÝ III</t>
  </si>
  <si>
    <t>QUÝ IV</t>
  </si>
  <si>
    <t>Năm 2025</t>
  </si>
  <si>
    <t>Lũy kế KH 2025</t>
  </si>
  <si>
    <t>Ghi chú</t>
  </si>
  <si>
    <t>Lũy kế thực hiện năm 2025</t>
  </si>
  <si>
    <t>1. Doanh thu bán hàng và cung cấp dịch vụ</t>
  </si>
  <si>
    <t>- Doanh thu bán hàng cho Givral</t>
  </si>
  <si>
    <t>- Doanh thu bán hàng cho Kem TT</t>
  </si>
  <si>
    <t>- Doanh thu hoạt động thương mại khác</t>
  </si>
  <si>
    <t>+ Bánh chưng truyền thống cho Kem TT</t>
  </si>
  <si>
    <t>+ Hộp quà tết cho vietinbank và khách lẻ</t>
  </si>
  <si>
    <t>- Doanh thu liên quan đến condotel</t>
  </si>
  <si>
    <t>+ Doanh thu chuyển nhượng condotel</t>
  </si>
  <si>
    <t>+Doanh thu phí chuyển nhượng condotel</t>
  </si>
  <si>
    <t>+ Doanh thu tímeshare</t>
  </si>
  <si>
    <t>- Doanh thu HĐ khác (thu hộ, chi hộ tổng kết)</t>
  </si>
  <si>
    <t>2. Các khoản giảm trừ doanh thu</t>
  </si>
  <si>
    <t>- Chiết khấu thương mại</t>
  </si>
  <si>
    <t>- Giảm giá hàng bán</t>
  </si>
  <si>
    <t>- hàng bán bị trả lại</t>
  </si>
  <si>
    <t>- Thuế tiêu thụ ĐB, Thuế xuất khẩu phải nộp</t>
  </si>
  <si>
    <t>3. Doanh thu thuần về bán hàng và cung cấp dịch vụ (10 = 01 - 02)</t>
  </si>
  <si>
    <t>4. Giá vốn hàng bán</t>
  </si>
  <si>
    <t>- GV mua hàng để bán hàng cho Givral</t>
  </si>
  <si>
    <t>- GV mua hàng để bán hàng cho KTT</t>
  </si>
  <si>
    <t>- GV hoạt động thương mại khác</t>
  </si>
  <si>
    <t>+ GV Bánh chưng truyền thống cho Kem TT</t>
  </si>
  <si>
    <t>+ GV Hộp quà tết cho vietinbank và khách lẻ</t>
  </si>
  <si>
    <t>- Giá vốn liên quan đến condotel</t>
  </si>
  <si>
    <t>+ GV chuyển nhượng condotel</t>
  </si>
  <si>
    <t>+ Giá vốn phí quản lý/ bảo trì condotel</t>
  </si>
  <si>
    <t>- GV HĐ khác</t>
  </si>
  <si>
    <t>5. Lợi nhuận gộp bán hàng và cung cấp dịch vụ (20 = 10 - 11)</t>
  </si>
  <si>
    <t>- LN gộp bán hàng cho Givral</t>
  </si>
  <si>
    <t>- LN gộp bán hàng cho Kem TT</t>
  </si>
  <si>
    <t>- LN gộp hoạt động thương mại khác</t>
  </si>
  <si>
    <t>- LN gộp liên quan đến condotel</t>
  </si>
  <si>
    <t>+ LN gộp chuyển nhượng condotel</t>
  </si>
  <si>
    <t>+LN gộp phí chuyển nhượng condotel</t>
  </si>
  <si>
    <t>+ LN gộp tímeshare</t>
  </si>
  <si>
    <t>- LN gộp HĐ khác (thu hộ, chi hộ…)</t>
  </si>
  <si>
    <t>6. Doanh thu hoạt động tài chính</t>
  </si>
  <si>
    <t>- Lãi tiền gửi</t>
  </si>
  <si>
    <t>- Lãi cho vay</t>
  </si>
  <si>
    <t>+ Lãi cho SHNT vay</t>
  </si>
  <si>
    <t>+ Lãi cho KTT vay</t>
  </si>
  <si>
    <t>+ Lãi cho Givral vay</t>
  </si>
  <si>
    <t>+ Lãi cho Kem Tín phát vay</t>
  </si>
  <si>
    <t>- Cổ tức</t>
  </si>
  <si>
    <t>+ Cổ tức Givral</t>
  </si>
  <si>
    <t>+ Cổ tức KTT</t>
  </si>
  <si>
    <t>+ Cổ tức LSO</t>
  </si>
  <si>
    <t>- Lãi HĐ khác (Thu nhập về hoạt động góp vốn liên doanh, đầu tư mua bán c.khoán</t>
  </si>
  <si>
    <t>7. Chi phí tài chính</t>
  </si>
  <si>
    <t>- Trong đó: Chi phí lãi vay</t>
  </si>
  <si>
    <t>+ Lãi vay GV</t>
  </si>
  <si>
    <t>+ Lãi vay KTT</t>
  </si>
  <si>
    <t>+ Lãi vay NH</t>
  </si>
  <si>
    <t>+ Lãi vay cá nhân</t>
  </si>
  <si>
    <t>- Chi phí dự phòng đầu tư</t>
  </si>
  <si>
    <t>+ Dự phòng SHNT</t>
  </si>
  <si>
    <t>+ Dự phòng Tân Việt</t>
  </si>
  <si>
    <t>+ Dự phòng Viptour- togi</t>
  </si>
  <si>
    <t>+ Dự phòng OTL</t>
  </si>
  <si>
    <t>+ Dự phòng Tín phát</t>
  </si>
  <si>
    <t>+ Dự phòng JP</t>
  </si>
  <si>
    <t>+ Dự phòng Givral</t>
  </si>
  <si>
    <t>+ Kỹ thuật và VLXD</t>
  </si>
  <si>
    <t>+ Dự phòng cty khác</t>
  </si>
  <si>
    <t>- Chi phí khác (giá vốn khoản đầu tư thoái vốn...)</t>
  </si>
  <si>
    <t>8. Chi phí bán hàng</t>
  </si>
  <si>
    <t>HDQT, BKS, Đại diện vốn, Thuê chuyên gia</t>
  </si>
  <si>
    <t>Chi phí VPP, mực in, phụ kiện máy in</t>
  </si>
  <si>
    <t>CP CPN, phô tô, in ấn, dịch thuật, công chứng</t>
  </si>
  <si>
    <t>Điện thoại</t>
  </si>
  <si>
    <t>Chi phí điện, nước</t>
  </si>
  <si>
    <t>Chi phí cây cảnh, làm vườn</t>
  </si>
  <si>
    <t>10. Lợi nhuận thuần từ hoạt động kinh doanh {30 = 20 + (21 - 22) - (25 + 26)}</t>
  </si>
  <si>
    <t>11. Thu nhập khác</t>
  </si>
  <si>
    <t>12. Chi phí khác</t>
  </si>
  <si>
    <t>13. Lợi nhuận khác (40 = 31 - 32)</t>
  </si>
  <si>
    <t>14. Tổng lợi nhuận kế toán trước thuế (50 = 30 + 40)</t>
  </si>
  <si>
    <t>15. Chi phí thuế TNDN hiện hành</t>
  </si>
  <si>
    <t>16. Chi phí thuế TNDN hoãn lại</t>
  </si>
  <si>
    <t>17. Lợi nhuận sau thuế thu nhập doanh nghiệp (60 = 50 - 51 - 52)</t>
  </si>
  <si>
    <t>SL Bravo</t>
  </si>
  <si>
    <t xml:space="preserve">check </t>
  </si>
  <si>
    <t xml:space="preserve"> </t>
  </si>
  <si>
    <t>TH-2024-01</t>
  </si>
  <si>
    <t>TH-2024-02</t>
  </si>
  <si>
    <t>TH-2024-03</t>
  </si>
  <si>
    <t>TH-2024-04</t>
  </si>
  <si>
    <t>TH-2024-05</t>
  </si>
  <si>
    <t>TH-2024-06</t>
  </si>
  <si>
    <t>TH-2024-07</t>
  </si>
  <si>
    <t>TH-2024-08</t>
  </si>
  <si>
    <t>TH-2024-09</t>
  </si>
  <si>
    <t>TH-2024-10</t>
  </si>
  <si>
    <t>TH-2024-11</t>
  </si>
  <si>
    <t>TH-2024-12</t>
  </si>
  <si>
    <t>KH-2025-01</t>
  </si>
  <si>
    <t>KH-2025-02</t>
  </si>
  <si>
    <t>KH-2025-03</t>
  </si>
  <si>
    <t>KH-2025-04</t>
  </si>
  <si>
    <t>KH-2025-05</t>
  </si>
  <si>
    <t>KH-2025-06</t>
  </si>
  <si>
    <t>KH-2025-07</t>
  </si>
  <si>
    <t>KH-2025-08</t>
  </si>
  <si>
    <t>KH-2025-09</t>
  </si>
  <si>
    <t>KH-2025-10</t>
  </si>
  <si>
    <t>KH-2025-11</t>
  </si>
  <si>
    <t>KH-2025-12</t>
  </si>
  <si>
    <t>TH-2025-01</t>
  </si>
  <si>
    <t>TH-2025-02</t>
  </si>
  <si>
    <t>TH-2025-03</t>
  </si>
  <si>
    <t>TH-2025-04</t>
  </si>
  <si>
    <t>TH-2025-05</t>
  </si>
  <si>
    <t>TH-2025-06</t>
  </si>
  <si>
    <t>TH-2025-07</t>
  </si>
  <si>
    <t>TH-2025-08</t>
  </si>
  <si>
    <t>TH-2025-09</t>
  </si>
  <si>
    <t>TH-2025-10</t>
  </si>
  <si>
    <t>TH-2025-11</t>
  </si>
  <si>
    <t>TH-2025-12</t>
  </si>
  <si>
    <t>+ DT - Givral - Daily</t>
  </si>
  <si>
    <t>+ DT - Givral - Trung thu</t>
  </si>
  <si>
    <t>+ DT - KTT - Daily</t>
  </si>
  <si>
    <t>+ DT - KTT - Trung thu</t>
  </si>
  <si>
    <t>+ GV - Givral - Daily</t>
  </si>
  <si>
    <t>+ GV - Givral - Trung thu</t>
  </si>
  <si>
    <t>+ GV - KTT - Daily</t>
  </si>
  <si>
    <t>+ GV - KTT - Trung thu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</si>
  <si>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</si>
  <si>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</si>
  <si>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</si>
  <si>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</si>
  <si>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</si>
  <si>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</si>
  <si>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</si>
  <si>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</si>
  <si>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</si>
  <si>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</si>
  <si>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</si>
  <si>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</si>
  <si>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</si>
  <si>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</si>
  <si>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</si>
  <si>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</si>
  <si>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</si>
  <si>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</si>
  <si>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</si>
  <si>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</si>
  <si>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</si>
  <si>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</si>
  <si>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</si>
  <si>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</si>
  <si>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Thời gian</t>
  </si>
  <si>
    <t>Chi phí QLDN</t>
  </si>
  <si>
    <t>CP QLDN chi tiết</t>
  </si>
  <si>
    <t>CP QLDN viết tắt</t>
  </si>
  <si>
    <t>Thù lao</t>
  </si>
  <si>
    <t>Đồ dùng VP</t>
  </si>
  <si>
    <t>Thuế phí</t>
  </si>
  <si>
    <t>VPP</t>
  </si>
  <si>
    <t>CPN</t>
  </si>
  <si>
    <t>CPN, Photo, công chứng</t>
  </si>
  <si>
    <t>Thuê cây</t>
  </si>
  <si>
    <t>CNTT</t>
  </si>
  <si>
    <t>Điện nước</t>
  </si>
  <si>
    <t>Thuê VP</t>
  </si>
  <si>
    <t>BH sức khỏe</t>
  </si>
  <si>
    <t>CP xe</t>
  </si>
  <si>
    <t>Gửi xe</t>
  </si>
  <si>
    <t>Kiểm toán</t>
  </si>
  <si>
    <t>Vé mb, ks</t>
  </si>
  <si>
    <t>Tiếp khách, ngoại giao</t>
  </si>
  <si>
    <t>Quà chiều</t>
  </si>
  <si>
    <t>Quà chiều, HC khác</t>
  </si>
  <si>
    <t>ĐHĐCĐ và lquan</t>
  </si>
  <si>
    <t>Đào tạo, tuyển dụng</t>
  </si>
  <si>
    <t>PR, MKT</t>
  </si>
  <si>
    <t>Mua ngoài khác</t>
  </si>
  <si>
    <t>CPQL Condotel</t>
  </si>
  <si>
    <t>Khác</t>
  </si>
  <si>
    <t>CP QLDN chi tiết viết tắt</t>
  </si>
  <si>
    <t>Lương ngày công</t>
  </si>
  <si>
    <t>Lương T13</t>
  </si>
  <si>
    <t>Công tác phí</t>
  </si>
  <si>
    <t>Thưởng Tết âm</t>
  </si>
  <si>
    <t>Thưởng tết dương</t>
  </si>
  <si>
    <t>Thưởng 30/4-1/5</t>
  </si>
  <si>
    <t>Quà khác</t>
  </si>
  <si>
    <t>Du lịch</t>
  </si>
  <si>
    <t>Sinh nhật CBNV</t>
  </si>
  <si>
    <t>Tổ chức Noel, Tết</t>
  </si>
  <si>
    <t>Tiệc cuối năm</t>
  </si>
  <si>
    <t>Tổ chức 20/10</t>
  </si>
  <si>
    <t>Thù lao HĐQT BKS</t>
  </si>
  <si>
    <t>Thù lao HĐQT BKS - bs</t>
  </si>
  <si>
    <t>HĐ mùa vụ</t>
  </si>
  <si>
    <t>CCCD VP</t>
  </si>
  <si>
    <t>Sửa chữa nhỏ VP</t>
  </si>
  <si>
    <t>Khấu hao TSCĐ</t>
  </si>
  <si>
    <t>Phí Bank</t>
  </si>
  <si>
    <t>Photo, in ấn</t>
  </si>
  <si>
    <t>Máy chủ</t>
  </si>
  <si>
    <t>Bảo trì Bravo</t>
  </si>
  <si>
    <t>PM Kaspersky</t>
  </si>
  <si>
    <t>PM Base</t>
  </si>
  <si>
    <t>Email</t>
  </si>
  <si>
    <t>Internet</t>
  </si>
  <si>
    <t>SpeedMaint Cloud</t>
  </si>
  <si>
    <t>Hosting</t>
  </si>
  <si>
    <t>PM kế toán nâng cấp</t>
  </si>
  <si>
    <t>Tên miền och.vn</t>
  </si>
  <si>
    <t>website</t>
  </si>
  <si>
    <t>CNTT khác</t>
  </si>
  <si>
    <t>Chữ ký số</t>
  </si>
  <si>
    <t>Điện, điều hòa</t>
  </si>
  <si>
    <t>Nước</t>
  </si>
  <si>
    <t>DV VP</t>
  </si>
  <si>
    <t>Khám sức khỏe</t>
  </si>
  <si>
    <t>Xe VP (xăng, gửi xe, …)</t>
  </si>
  <si>
    <t>BH, ĐK xe</t>
  </si>
  <si>
    <t>Bảo dưỡng xe</t>
  </si>
  <si>
    <t>Grab</t>
  </si>
  <si>
    <t>Ngoại giao BTGĐ</t>
  </si>
  <si>
    <t>Ngoại giao Marcom</t>
  </si>
  <si>
    <t>Ngoại giao Pháp chế</t>
  </si>
  <si>
    <t>Ngoại giao HCNS</t>
  </si>
  <si>
    <t>Ngoại giao Kế toán</t>
  </si>
  <si>
    <t>Ngoại giao VP</t>
  </si>
  <si>
    <t>Niêm yết HNX</t>
  </si>
  <si>
    <t>Tổ chức ĐHĐCĐ</t>
  </si>
  <si>
    <t>Chốt DS cổ đông</t>
  </si>
  <si>
    <t>Bảo vệ</t>
  </si>
  <si>
    <t>Báo chí</t>
  </si>
  <si>
    <t>CP ĐHĐCĐ khác</t>
  </si>
  <si>
    <t>Tuyển dụng</t>
  </si>
  <si>
    <t>Đào tạo</t>
  </si>
  <si>
    <t>Định vị thương hiệu</t>
  </si>
  <si>
    <t>Đăng báo</t>
  </si>
  <si>
    <t>Dự phòng PR MKT</t>
  </si>
  <si>
    <t>Hợp tác với báo</t>
  </si>
  <si>
    <t>Tài trợ HNB</t>
  </si>
  <si>
    <t>TK TVPL</t>
  </si>
  <si>
    <t>Tư vấn tái cấu trúc DN</t>
  </si>
  <si>
    <t>DV Tư vấn đầu tư</t>
  </si>
  <si>
    <t>CP pháp chế khác</t>
  </si>
  <si>
    <t>Lương, phúc lợi</t>
  </si>
  <si>
    <t>Chi phí quảng cáo khác</t>
  </si>
  <si>
    <t>Chưa bao gồm chi từ quỹ phúc lợi 250tr</t>
  </si>
  <si>
    <t>6 tr đưa vào quỹ phúc lợi</t>
  </si>
  <si>
    <t>CP Quảng cáo khác</t>
  </si>
  <si>
    <t>+ Lãi cho vay Viptour</t>
  </si>
  <si>
    <t>Chi phí Hợp đồng KS Dusit</t>
  </si>
  <si>
    <t>HĐ KS Dusit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</si>
  <si>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</si>
  <si>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</si>
  <si>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</si>
  <si>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</si>
  <si>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</si>
  <si>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</si>
  <si>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</si>
  <si>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</si>
  <si>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</si>
  <si>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</si>
  <si>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</si>
  <si>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</si>
  <si>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THỰC HIỆN NĂM 2026</t>
  </si>
  <si>
    <t>NĂM 2026</t>
  </si>
  <si>
    <t>TH-2026-01</t>
  </si>
  <si>
    <t>TH-2026-02</t>
  </si>
  <si>
    <t>TH-2026-03</t>
  </si>
  <si>
    <t>TH-2026-04</t>
  </si>
  <si>
    <t>TH-2026-05</t>
  </si>
  <si>
    <t>TH-2026-06</t>
  </si>
  <si>
    <t>TH-2026-07</t>
  </si>
  <si>
    <t>TH-2026-08</t>
  </si>
  <si>
    <t>TH-2026-09</t>
  </si>
  <si>
    <t>TH-2026-10</t>
  </si>
  <si>
    <t>TH-2026-11</t>
  </si>
  <si>
    <t>TH-2026-12</t>
  </si>
  <si>
    <t>KH-2026-01</t>
  </si>
  <si>
    <t>KH-2026-02</t>
  </si>
  <si>
    <t>KH-2026-03</t>
  </si>
  <si>
    <t>KH-2026-04</t>
  </si>
  <si>
    <t>KH-2026-05</t>
  </si>
  <si>
    <t>KH-2026-06</t>
  </si>
  <si>
    <t>KH-2026-07</t>
  </si>
  <si>
    <t>KH-2026-08</t>
  </si>
  <si>
    <t>KH-2026-09</t>
  </si>
  <si>
    <t>KH-2026-10</t>
  </si>
  <si>
    <t>KH-2026-11</t>
  </si>
  <si>
    <t>KH-2026-12</t>
  </si>
  <si>
    <t>KẾ HOẠCH NĂM 2027</t>
  </si>
  <si>
    <t>THỰC HIỆN NĂM 2027</t>
  </si>
  <si>
    <t>KẾ HOẠCH NĂM 2026</t>
  </si>
  <si>
    <t>NĂM 2027</t>
  </si>
  <si>
    <t>TH-2027-01</t>
  </si>
  <si>
    <t>TH-2027-02</t>
  </si>
  <si>
    <t>TH-2027-03</t>
  </si>
  <si>
    <t>TH-2027-04</t>
  </si>
  <si>
    <t>TH-2027-05</t>
  </si>
  <si>
    <t>TH-2027-06</t>
  </si>
  <si>
    <t>TH-2027-07</t>
  </si>
  <si>
    <t>TH-2027-08</t>
  </si>
  <si>
    <t>TH-2027-09</t>
  </si>
  <si>
    <t>TH-2027-10</t>
  </si>
  <si>
    <t>TH-2027-11</t>
  </si>
  <si>
    <t>TH-2027-12</t>
  </si>
  <si>
    <t>KH-2027-01</t>
  </si>
  <si>
    <t>KH-2027-02</t>
  </si>
  <si>
    <t>KH-2027-03</t>
  </si>
  <si>
    <t>KH-2027-04</t>
  </si>
  <si>
    <t>KH-2027-05</t>
  </si>
  <si>
    <t>KH-2027-06</t>
  </si>
  <si>
    <t>KH-2027-07</t>
  </si>
  <si>
    <t>KH-2027-08</t>
  </si>
  <si>
    <t>KH-2027-09</t>
  </si>
  <si>
    <t>KH-2027-10</t>
  </si>
  <si>
    <t>KH-2027-11</t>
  </si>
  <si>
    <t>KH-2027-12</t>
  </si>
  <si>
    <t>Chi tổ chức sinh nhật tháng, quý</t>
  </si>
  <si>
    <t>Tổ chức sinh nhật tháng, quý</t>
  </si>
  <si>
    <t>c</t>
  </si>
  <si>
    <t>Chi phí thiết kế và in ấn tài liệu báo cáo thường niên</t>
  </si>
  <si>
    <t>CPTK Báo cáo thường niên</t>
  </si>
  <si>
    <t>Chi phí tổ chức ĐHĐCĐ, BCTN và các CP liên quan</t>
  </si>
  <si>
    <t>STT</t>
  </si>
  <si>
    <t>+ Lãi cho vay OCC</t>
  </si>
  <si>
    <t>Chi phí tổ chức 8/3</t>
  </si>
  <si>
    <t>Phần mềm Base Office (không tái kí từ 3/2025)</t>
  </si>
  <si>
    <t>KH SXKD 2026</t>
  </si>
  <si>
    <t>Tổ chức 8/3</t>
  </si>
  <si>
    <t>Lũy kế KH năm 2026</t>
  </si>
  <si>
    <t>TH SXKD 2026</t>
  </si>
  <si>
    <t>Lũy kế TH năm 2026</t>
  </si>
  <si>
    <t>KẾ HOẠCH SẢN XUẤT KINH DOANH NĂM 2026 - MẸ</t>
  </si>
  <si>
    <t>CL</t>
  </si>
  <si>
    <t>Chi phí tư vấn phát hành CK</t>
  </si>
  <si>
    <t>Chi phí Định giá</t>
  </si>
  <si>
    <t>Chi phí tư vấn huy động vốn</t>
  </si>
  <si>
    <t>Chi phí khác</t>
  </si>
  <si>
    <t>Chi phí tăng vốn 2026</t>
  </si>
  <si>
    <t>CP tăng vốn 2026</t>
  </si>
  <si>
    <t>Tư vấn PHCK</t>
  </si>
  <si>
    <t>Tư vấn huy động vốn</t>
  </si>
  <si>
    <t>CP khác</t>
  </si>
  <si>
    <t>CP hành chính</t>
  </si>
  <si>
    <t>Ngày cập nhật: 6/3/26</t>
  </si>
  <si>
    <t>CL25/24</t>
  </si>
  <si>
    <t>CL 26/25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</si>
</sst>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7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* #,##0_-;\-* #,##0_-;_-* &quot;-&quot;??_-;_-@_-"/>
    <numFmt numFmtId="171" formatCode="_(* #,##0_);_(* \(#,##0\);_(* &quot;-&quot;??_);_(@_)"/>
    <numFmt numFmtId="172" formatCode="_-* #,##0\ _₫_-;\-* #,##0\ _₫_-;_-* &quot;-&quot;??\ _₫_-;_-@_-"/>
    <numFmt numFmtId="173" formatCode="#,##0;\(#,##0\);\ "/>
    <numFmt numFmtId="174" formatCode="0.0%"/>
    <numFmt numFmtId="175" formatCode="_-&quot;$&quot;* #,##0.00_-;\-&quot;$&quot;* #,##0.00_-;_-&quot;$&quot;* &quot;-&quot;??_-;_-@_-"/>
    <numFmt numFmtId="176" formatCode="_-* #,##0.00\ _₫_-;\-* #,##0.00\ _₫_-;_-* &quot;-&quot;??\ _₫_-;_-@_-"/>
    <numFmt numFmtId="177" formatCode="_-[$€-2]* #,##0.00_-;\-[$€-2]* #,##0.00_-;_-[$€-2]* &quot;-&quot;??_-"/>
    <numFmt numFmtId="178" formatCode="\$#,##0\ ;&quot;($&quot;#,##0\)"/>
    <numFmt numFmtId="179" formatCode="&quot;F &quot;#,##0;[Red]&quot;-F &quot;#,##0"/>
    <numFmt numFmtId="180" formatCode="#,##0.00&quot; F&quot;;[Red]\-#,##0.00&quot; F&quot;"/>
    <numFmt numFmtId="181" formatCode="_-* #,##0&quot; F&quot;_-;\-* #,##0&quot; F&quot;_-;_-* &quot;- F&quot;_-;_-@_-"/>
    <numFmt numFmtId="182" formatCode="#,##0&quot; F&quot;;[Red]\-#,##0&quot; F&quot;"/>
    <numFmt numFmtId="183" formatCode="#,##0.00&quot; F&quot;;\-#,##0.00&quot; F&quot;"/>
    <numFmt numFmtId="184" formatCode="_-* #,##0_-;\-* #,##0_-;_-* \-_-;_-@_-"/>
    <numFmt numFmtId="185" formatCode="_-* #,##0.00_-;\-* #,##0.00_-;_-* \-??_-;_-@_-"/>
    <numFmt numFmtId="186" formatCode="_-\£* #,##0_-;&quot;-£&quot;* #,##0_-;_-\£* \-_-;_-@_-"/>
    <numFmt numFmtId="187" formatCode="\£#,##0.00;[Red]&quot;-£&quot;#,##0.00"/>
    <numFmt numFmtId="188" formatCode="_-\$* #,##0_-;&quot;-$&quot;* #,##0_-;_-\$* \-_-;_-@_-"/>
    <numFmt numFmtId="189" formatCode="#,##0&quot; $&quot;_);[Red]\(#,##0&quot; $)&quot;"/>
    <numFmt numFmtId="190" formatCode="_-\$* #,##0.00_-;&quot;-$&quot;* #,##0.00_-;_-\$* \-??_-;_-@_-"/>
    <numFmt numFmtId="191" formatCode="#,##0.000_);\(#,##0.000\)"/>
    <numFmt numFmtId="192" formatCode="_ * #,##0.00_ ;_ * \-#,##0.00_ ;_ * &quot;-&quot;??_ ;_ @_ "/>
    <numFmt numFmtId="193" formatCode="_(* #,##0.0000_);_(* \(#,##0.0000\);_(* &quot;-&quot;??_);_(@_)"/>
    <numFmt numFmtId="194" formatCode="00.000"/>
    <numFmt numFmtId="195" formatCode="&quot;?&quot;#,##0;&quot;?&quot;\-#,##0"/>
    <numFmt numFmtId="196" formatCode="_ &quot;\&quot;* #,##0_ ;_ &quot;\&quot;* \-#,##0_ ;_ &quot;\&quot;* &quot;-&quot;_ ;_ @_ "/>
    <numFmt numFmtId="197" formatCode="_ &quot;\&quot;* #,##0.00_ ;_ &quot;\&quot;* \-#,##0.00_ ;_ &quot;\&quot;* &quot;-&quot;??_ ;_ @_ "/>
    <numFmt numFmtId="198" formatCode="_ * #,##0_ ;_ * \-#,##0_ ;_ * &quot;-&quot;_ ;_ @_ "/>
    <numFmt numFmtId="199" formatCode="#,##0.0_);\(#,##0.0\)"/>
    <numFmt numFmtId="200" formatCode="0.0%;[Red]\(0.0%\)"/>
    <numFmt numFmtId="201" formatCode="_ * #,##0.00_)&quot;£&quot;_ ;_ * \(#,##0.00\)&quot;£&quot;_ ;_ * &quot;-&quot;??_)&quot;£&quot;_ ;_ @_ "/>
    <numFmt numFmtId="202" formatCode="0.0%;\(0.0%\)"/>
    <numFmt numFmtId="203" formatCode="#,##0_)_%;\(#,##0\)_%;"/>
    <numFmt numFmtId="204" formatCode="_._.* #,##0.0_)_%;_._.* \(#,##0.0\)_%"/>
    <numFmt numFmtId="205" formatCode="#,##0.0_)_%;\(#,##0.0\)_%;\ \ .0_)_%"/>
    <numFmt numFmtId="206" formatCode="_._.* #,##0.00_)_%;_._.* \(#,##0.00\)_%"/>
    <numFmt numFmtId="207" formatCode="#,##0.00_)_%;\(#,##0.00\)_%;\ \ .00_)_%"/>
    <numFmt numFmtId="208" formatCode="_._.* #,##0.000_)_%;_._.* \(#,##0.000\)_%"/>
    <numFmt numFmtId="209" formatCode="#,##0.000_)_%;\(#,##0.000\)_%;\ \ .000_)_%"/>
    <numFmt numFmtId="210" formatCode="#,##0;\(#,##0\)"/>
    <numFmt numFmtId="211" formatCode="_._.* \(#,##0\)_%;_._.* #,##0_)_%;_._.* 0_)_%;_._.@_)_%"/>
    <numFmt numFmtId="212" formatCode="_._.&quot;$&quot;* \(#,##0\)_%;_._.&quot;$&quot;* #,##0_)_%;_._.&quot;$&quot;* 0_)_%;_._.@_)_%"/>
    <numFmt numFmtId="213" formatCode="* \(#,##0\);* #,##0_);&quot;-&quot;??_);@"/>
    <numFmt numFmtId="214" formatCode="&quot;$&quot;* #,##0_)_%;&quot;$&quot;* \(#,##0\)_%;&quot;$&quot;* &quot;-&quot;??_)_%;@_)_%"/>
    <numFmt numFmtId="215" formatCode="_._.&quot;$&quot;* #,##0.0_)_%;_._.&quot;$&quot;* \(#,##0.0\)_%"/>
    <numFmt numFmtId="216" formatCode="&quot;$&quot;* #,##0.0_)_%;&quot;$&quot;* \(#,##0.0\)_%;&quot;$&quot;* \ .0_)_%"/>
    <numFmt numFmtId="217" formatCode="_._.&quot;$&quot;* #,##0.00_)_%;_._.&quot;$&quot;* \(#,##0.00\)_%"/>
    <numFmt numFmtId="218" formatCode="&quot;$&quot;* #,##0.00_)_%;&quot;$&quot;* \(#,##0.00\)_%;&quot;$&quot;* \ .00_)_%"/>
    <numFmt numFmtId="219" formatCode="_._.&quot;$&quot;* #,##0.000_)_%;_._.&quot;$&quot;* \(#,##0.000\)_%"/>
    <numFmt numFmtId="220" formatCode="&quot;$&quot;* #,##0.000_)_%;&quot;$&quot;* \(#,##0.000\)_%;&quot;$&quot;* \ .000_)_%"/>
    <numFmt numFmtId="221" formatCode="\t0.00%"/>
    <numFmt numFmtId="222" formatCode="* #,##0_);* \(#,##0\);&quot;-&quot;??_);@"/>
    <numFmt numFmtId="223" formatCode="\U\S\$#,##0.00;\(\U\S\$#,##0.00\)"/>
    <numFmt numFmtId="224" formatCode="_-* #,##0\ _D_M_-;\-* #,##0\ _D_M_-;_-* &quot;-&quot;\ _D_M_-;_-@_-"/>
    <numFmt numFmtId="225" formatCode="_-* #,##0.00\ _D_M_-;\-* #,##0.00\ _D_M_-;_-* &quot;-&quot;??\ _D_M_-;_-@_-"/>
    <numFmt numFmtId="226" formatCode="\t#\ ??/??"/>
    <numFmt numFmtId="227" formatCode="_-[$€]* #,##0.00_-;\-[$€]* #,##0.00_-;_-[$€]* &quot;-&quot;??_-;_-@_-"/>
    <numFmt numFmtId="228" formatCode="&quot;NT$&quot;#,##0;\-&quot;NT$&quot;#,##0"/>
    <numFmt numFmtId="229" formatCode="&quot;NT$&quot;#,##0;[Red]\-&quot;NT$&quot;#,##0"/>
    <numFmt numFmtId="230" formatCode="m/d"/>
    <numFmt numFmtId="231" formatCode="&quot;ß&quot;#,##0;\-&quot;&quot;&quot;ß&quot;&quot;&quot;#,##0"/>
    <numFmt numFmtId="232" formatCode="0_)%;\(0\)%"/>
    <numFmt numFmtId="233" formatCode="_._._(* 0_)%;_._.* \(0\)%"/>
    <numFmt numFmtId="234" formatCode="_(0_)%;\(0\)%"/>
    <numFmt numFmtId="235" formatCode="0%_);\(0%\)"/>
    <numFmt numFmtId="236" formatCode="_(0.0_)%;\(0.0\)%"/>
    <numFmt numFmtId="237" formatCode="_._._(* 0.0_)%;_._.* \(0.0\)%"/>
    <numFmt numFmtId="238" formatCode="_(0.00_)%;\(0.00\)%"/>
    <numFmt numFmtId="239" formatCode="_._._(* 0.00_)%;_._.* \(0.00\)%"/>
    <numFmt numFmtId="240" formatCode="_(0.000_)%;\(0.000\)%"/>
    <numFmt numFmtId="241" formatCode="_._._(* 0.000_)%;_._.* \(0.000\)%"/>
    <numFmt numFmtId="242" formatCode="&quot;\&quot;#,##0;[Red]\-&quot;\&quot;#,##0"/>
    <numFmt numFmtId="243" formatCode="#,##0.00\ &quot;F&quot;;[Red]\-#,##0.00\ &quot;F&quot;"/>
    <numFmt numFmtId="244" formatCode="#,##0\ &quot;F&quot;;\-#,##0\ &quot;F&quot;"/>
    <numFmt numFmtId="245" formatCode="#,##0\ &quot;F&quot;;[Red]\-#,##0\ &quot;F&quot;"/>
    <numFmt numFmtId="246" formatCode="_-* #,##0\ &quot;DM&quot;_-;\-* #,##0\ &quot;DM&quot;_-;_-* &quot;-&quot;\ &quot;DM&quot;_-;_-@_-"/>
    <numFmt numFmtId="247" formatCode="_-* #,##0.00\ &quot;DM&quot;_-;\-* #,##0.00\ &quot;DM&quot;_-;_-* &quot;-&quot;??\ &quot;DM&quot;_-;_-@_-"/>
    <numFmt numFmtId="248" formatCode="_(* #,##0.0_);_(* \(#,##0.0\);_(* &quot;-&quot;??_);_(@_)"/>
  </numFmts>
  <fonts count="11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sz val="10"/>
      <name val=".VnTime"/>
      <family val="2"/>
    </font>
    <font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9.75"/>
      <color rgb="FFFF0000"/>
      <name val="Times New Roman"/>
      <family val="2"/>
    </font>
    <font>
      <sz val="10"/>
      <color theme="1"/>
      <name val="VnBravo Times"/>
      <family val="2"/>
    </font>
    <font>
      <b/>
      <sz val="11"/>
      <name val="Calibri"/>
      <family val="2"/>
      <scheme val="minor"/>
    </font>
    <font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name val="Times New Roman"/>
      <family val="1"/>
    </font>
    <font>
      <i/>
      <sz val="12"/>
      <name val="Times New Roman"/>
      <family val="1"/>
    </font>
    <font>
      <i/>
      <sz val="12"/>
      <color rgb="FFFF0000"/>
      <name val="Times New Roman"/>
      <family val="1"/>
    </font>
    <font>
      <sz val="12"/>
      <color theme="1"/>
      <name val="Times New Roman"/>
      <family val="2"/>
    </font>
    <font>
      <sz val="9"/>
      <color theme="1"/>
      <name val="Arial"/>
      <family val="2"/>
    </font>
    <font>
      <b/>
      <sz val="16"/>
      <name val="Times New Roman"/>
      <family val="1"/>
    </font>
    <font>
      <sz val="11"/>
      <name val="Times New Roman"/>
      <family val="1"/>
      <charset val="163"/>
    </font>
    <font>
      <sz val="10"/>
      <color indexed="8"/>
      <name val="Arial"/>
      <family val="2"/>
    </font>
    <font>
      <b/>
      <i/>
      <sz val="12"/>
      <name val="Times New Roman"/>
      <family val="1"/>
    </font>
    <font>
      <sz val="12"/>
      <color theme="1"/>
      <name val="Calibri"/>
      <family val="1"/>
      <scheme val="minor"/>
    </font>
    <font>
      <sz val="12"/>
      <name val=".VnTime"/>
      <family val="2"/>
    </font>
    <font>
      <sz val="10"/>
      <name val="VNI-Times"/>
    </font>
    <font>
      <sz val="10"/>
      <color indexed="8"/>
      <name val="MS Sans Serif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indexed="8"/>
      <name val="ARIAL"/>
      <family val="2"/>
      <charset val="1"/>
    </font>
    <font>
      <sz val="12"/>
      <name val="¹UAAA¼"/>
      <family val="3"/>
      <charset val="129"/>
    </font>
    <font>
      <b/>
      <sz val="12"/>
      <name val="Arial"/>
      <family val="2"/>
    </font>
    <font>
      <sz val="13"/>
      <name val=".VnTime"/>
      <family val="2"/>
    </font>
    <font>
      <sz val="12"/>
      <name val="뼻뮝"/>
      <family val="3"/>
    </font>
    <font>
      <sz val="10"/>
      <name val="굴림체"/>
      <family val="3"/>
    </font>
    <font>
      <sz val="12"/>
      <name val=".VnTime"/>
      <family val="1"/>
    </font>
    <font>
      <b/>
      <sz val="10"/>
      <name val="Tahoma"/>
      <family val="2"/>
    </font>
    <font>
      <sz val="11"/>
      <name val="돋움"/>
      <family val="3"/>
      <charset val="129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indexed="12"/>
      <name val="Times New Roman"/>
      <family val="1"/>
    </font>
    <font>
      <sz val="12"/>
      <name val="VNtimes new roman"/>
      <family val="2"/>
    </font>
    <font>
      <sz val="11"/>
      <name val="??"/>
      <family val="3"/>
    </font>
    <font>
      <sz val="14"/>
      <name val="??"/>
      <family val="3"/>
    </font>
    <font>
      <sz val="12"/>
      <name val="????"/>
      <family val="1"/>
      <charset val="136"/>
    </font>
    <font>
      <sz val="12"/>
      <name val="???"/>
      <family val="3"/>
    </font>
    <font>
      <sz val="10"/>
      <name val="???"/>
      <family val="3"/>
      <charset val="129"/>
    </font>
    <font>
      <b/>
      <u/>
      <sz val="14"/>
      <color indexed="8"/>
      <name val=".VnBook-AntiquaH"/>
      <family val="2"/>
    </font>
    <font>
      <sz val="10"/>
      <name val="VnTimes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±¼¸²Ã¼"/>
      <family val="3"/>
      <charset val="129"/>
    </font>
    <font>
      <sz val="12"/>
      <name val="µ¸¿òÃ¼"/>
      <family val="3"/>
      <charset val="129"/>
    </font>
    <font>
      <sz val="10"/>
      <name val="Helv"/>
    </font>
    <font>
      <b/>
      <sz val="10"/>
      <name val="Helv"/>
      <family val="2"/>
    </font>
    <font>
      <b/>
      <sz val="11"/>
      <name val="Arial"/>
      <family val="2"/>
    </font>
    <font>
      <sz val="10"/>
      <name val="MS Sans Serif"/>
      <family val="2"/>
    </font>
    <font>
      <sz val="10"/>
      <name val="VNI-Aptima"/>
    </font>
    <font>
      <u val="singleAccounting"/>
      <sz val="11"/>
      <name val="Times New Roman"/>
      <family val="1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b/>
      <sz val="12"/>
      <name val=".VnBook-AntiquaH"/>
      <family val="2"/>
    </font>
    <font>
      <b/>
      <sz val="12"/>
      <name val="Helv"/>
      <family val="2"/>
    </font>
    <font>
      <b/>
      <sz val="18"/>
      <name val="Arial"/>
      <family val="2"/>
    </font>
    <font>
      <b/>
      <sz val="10"/>
      <name val=".VnTime"/>
      <family val="2"/>
    </font>
    <font>
      <b/>
      <sz val="14"/>
      <name val=".VnTimeH"/>
      <family val="2"/>
    </font>
    <font>
      <b/>
      <sz val="11"/>
      <name val="Helv"/>
      <family val="2"/>
    </font>
    <font>
      <sz val="7"/>
      <name val="Small Fonts"/>
      <family val="2"/>
    </font>
    <font>
      <b/>
      <sz val="12"/>
      <name val="VN-NTime"/>
      <family val="2"/>
    </font>
    <font>
      <sz val="12"/>
      <name val="바탕체"/>
      <family val="1"/>
      <charset val="129"/>
    </font>
    <font>
      <sz val="12"/>
      <color indexed="8"/>
      <name val="Times New Roman"/>
      <family val="1"/>
    </font>
    <font>
      <sz val="12"/>
      <name val="Helv"/>
      <family val="2"/>
    </font>
    <font>
      <b/>
      <sz val="10"/>
      <name val="MS Sans Serif"/>
      <family val="2"/>
    </font>
    <font>
      <sz val="12"/>
      <name val="VNTime"/>
      <family val="2"/>
    </font>
    <font>
      <sz val="12"/>
      <name val="VNTime"/>
    </font>
    <font>
      <b/>
      <sz val="10"/>
      <color indexed="10"/>
      <name val="Arial"/>
      <family val="2"/>
    </font>
    <font>
      <sz val="10"/>
      <name val="VNtimes new roman"/>
      <family val="2"/>
    </font>
    <font>
      <b/>
      <sz val="8"/>
      <name val="VN Helvetica"/>
    </font>
    <font>
      <b/>
      <sz val="12"/>
      <name val=".VnTime"/>
      <family val="2"/>
    </font>
    <font>
      <b/>
      <sz val="10"/>
      <name val="VN AvantGBook"/>
    </font>
    <font>
      <b/>
      <sz val="16"/>
      <name val=".VnTime"/>
      <family val="2"/>
    </font>
    <font>
      <sz val="9"/>
      <name val=".VnTime"/>
      <family val="2"/>
    </font>
    <font>
      <sz val="14"/>
      <name val=".VnArial"/>
      <family val="2"/>
    </font>
    <font>
      <sz val="16"/>
      <name val="AngsanaUPC"/>
      <family val="3"/>
    </font>
    <font>
      <sz val="10"/>
      <name val="Helv"/>
      <family val="2"/>
    </font>
    <font>
      <sz val="12"/>
      <name val="바탕체"/>
      <family val="3"/>
    </font>
    <font>
      <sz val="10"/>
      <name val=".VnArial"/>
      <family val="1"/>
    </font>
    <font>
      <sz val="11"/>
      <color theme="1"/>
      <name val="Calibri"/>
      <family val="2"/>
      <charset val="163"/>
      <scheme val="minor"/>
    </font>
    <font>
      <sz val="11"/>
      <color indexed="8"/>
      <name val="Calibri"/>
      <family val="2"/>
    </font>
    <font>
      <sz val="11"/>
      <color theme="1"/>
      <name val="Times New Roman"/>
      <family val="2"/>
    </font>
    <font>
      <sz val="10"/>
      <name val="VnBravo Times"/>
      <family val="1"/>
    </font>
    <font>
      <sz val="11"/>
      <color rgb="FFFF0000"/>
      <name val="Calibri"/>
      <family val="2"/>
      <charset val="163"/>
      <scheme val="minor"/>
    </font>
    <font>
      <i/>
      <sz val="11"/>
      <name val="Times New Roman"/>
      <family val="1"/>
      <charset val="163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989E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8"/>
      </top>
      <bottom/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</borders>
  <cellStyleXfs count="398">
    <xf numFmtId="0" fontId="0" fillId="0" borderId="0"/>
    <xf numFmtId="16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2" fillId="0" borderId="0">
      <alignment vertical="top"/>
    </xf>
    <xf numFmtId="37" fontId="15" fillId="0" borderId="0"/>
    <xf numFmtId="0" fontId="6" fillId="0" borderId="0"/>
    <xf numFmtId="0" fontId="16" fillId="0" borderId="0"/>
    <xf numFmtId="0" fontId="21" fillId="0" borderId="0"/>
    <xf numFmtId="43" fontId="6" fillId="0" borderId="0" applyFont="0" applyFill="0" applyBorder="0" applyAlignment="0" applyProtection="0"/>
    <xf numFmtId="0" fontId="6" fillId="0" borderId="0"/>
    <xf numFmtId="0" fontId="30" fillId="0" borderId="0"/>
    <xf numFmtId="169" fontId="3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6" fillId="0" borderId="0">
      <alignment vertical="center"/>
    </xf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29" fillId="0" borderId="0"/>
    <xf numFmtId="0" fontId="35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7" fontId="36" fillId="0" borderId="0"/>
    <xf numFmtId="169" fontId="37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38" fillId="0" borderId="0" applyFont="0" applyFill="0" applyBorder="0" applyAlignment="0" applyProtection="0"/>
    <xf numFmtId="169" fontId="6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77" fontId="37" fillId="0" borderId="0"/>
    <xf numFmtId="0" fontId="8" fillId="0" borderId="0"/>
    <xf numFmtId="171" fontId="55" fillId="0" borderId="11" applyFont="0" applyBorder="0"/>
    <xf numFmtId="194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195" fontId="56" fillId="0" borderId="0" applyFont="0" applyFill="0" applyBorder="0" applyAlignment="0" applyProtection="0"/>
    <xf numFmtId="40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41" fontId="58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60" fillId="0" borderId="0"/>
    <xf numFmtId="0" fontId="50" fillId="0" borderId="0"/>
    <xf numFmtId="0" fontId="61" fillId="20" borderId="0"/>
    <xf numFmtId="0" fontId="62" fillId="0" borderId="0"/>
    <xf numFmtId="0" fontId="63" fillId="20" borderId="0"/>
    <xf numFmtId="0" fontId="64" fillId="20" borderId="0"/>
    <xf numFmtId="0" fontId="65" fillId="0" borderId="0">
      <alignment wrapText="1"/>
    </xf>
    <xf numFmtId="196" fontId="66" fillId="0" borderId="0" applyFont="0" applyFill="0" applyBorder="0" applyAlignment="0" applyProtection="0"/>
    <xf numFmtId="0" fontId="42" fillId="0" borderId="0" applyFill="0" applyBorder="0" applyProtection="0">
      <alignment vertical="top"/>
    </xf>
    <xf numFmtId="197" fontId="66" fillId="0" borderId="0" applyFont="0" applyFill="0" applyBorder="0" applyAlignment="0" applyProtection="0"/>
    <xf numFmtId="0" fontId="42" fillId="0" borderId="0" applyFill="0" applyBorder="0" applyProtection="0">
      <alignment vertical="top"/>
    </xf>
    <xf numFmtId="198" fontId="66" fillId="0" borderId="0" applyFont="0" applyFill="0" applyBorder="0" applyAlignment="0" applyProtection="0"/>
    <xf numFmtId="0" fontId="42" fillId="0" borderId="0" applyFill="0" applyBorder="0" applyProtection="0">
      <alignment vertical="top"/>
    </xf>
    <xf numFmtId="192" fontId="66" fillId="0" borderId="0" applyFont="0" applyFill="0" applyBorder="0" applyAlignment="0" applyProtection="0"/>
    <xf numFmtId="0" fontId="42" fillId="0" borderId="0" applyFill="0" applyBorder="0" applyProtection="0">
      <alignment vertical="top"/>
    </xf>
    <xf numFmtId="0" fontId="43" fillId="0" borderId="0"/>
    <xf numFmtId="0" fontId="67" fillId="0" borderId="0"/>
    <xf numFmtId="0" fontId="43" fillId="0" borderId="0"/>
    <xf numFmtId="0" fontId="6" fillId="0" borderId="0" applyFill="0" applyBorder="0" applyAlignment="0"/>
    <xf numFmtId="0" fontId="6" fillId="0" borderId="0" applyFill="0" applyBorder="0" applyAlignment="0"/>
    <xf numFmtId="199" fontId="68" fillId="0" borderId="0" applyFill="0" applyBorder="0" applyAlignment="0"/>
    <xf numFmtId="193" fontId="68" fillId="0" borderId="0" applyFill="0" applyBorder="0" applyAlignment="0"/>
    <xf numFmtId="200" fontId="68" fillId="0" borderId="0" applyFill="0" applyBorder="0" applyAlignment="0"/>
    <xf numFmtId="201" fontId="6" fillId="0" borderId="0" applyFill="0" applyBorder="0" applyAlignment="0"/>
    <xf numFmtId="201" fontId="6" fillId="0" borderId="0" applyFill="0" applyBorder="0" applyAlignment="0"/>
    <xf numFmtId="175" fontId="68" fillId="0" borderId="0" applyFill="0" applyBorder="0" applyAlignment="0"/>
    <xf numFmtId="202" fontId="68" fillId="0" borderId="0" applyFill="0" applyBorder="0" applyAlignment="0"/>
    <xf numFmtId="199" fontId="68" fillId="0" borderId="0" applyFill="0" applyBorder="0" applyAlignment="0"/>
    <xf numFmtId="0" fontId="69" fillId="0" borderId="0"/>
    <xf numFmtId="0" fontId="70" fillId="0" borderId="0" applyFill="0" applyBorder="0" applyProtection="0">
      <alignment horizontal="center"/>
      <protection locked="0"/>
    </xf>
    <xf numFmtId="3" fontId="71" fillId="0" borderId="1"/>
    <xf numFmtId="1" fontId="72" fillId="0" borderId="9" applyBorder="0"/>
    <xf numFmtId="0" fontId="53" fillId="0" borderId="7">
      <alignment horizontal="center"/>
    </xf>
    <xf numFmtId="169" fontId="8" fillId="0" borderId="0" applyFont="0" applyFill="0" applyBorder="0" applyAlignment="0" applyProtection="0"/>
    <xf numFmtId="20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167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75" fontId="68" fillId="0" borderId="0" applyFont="0" applyFill="0" applyBorder="0" applyAlignment="0" applyProtection="0"/>
    <xf numFmtId="204" fontId="8" fillId="0" borderId="0" applyFont="0" applyFill="0" applyBorder="0" applyAlignment="0" applyProtection="0"/>
    <xf numFmtId="205" fontId="51" fillId="0" borderId="0" applyFont="0" applyFill="0" applyBorder="0" applyAlignment="0" applyProtection="0"/>
    <xf numFmtId="206" fontId="73" fillId="0" borderId="0" applyFont="0" applyFill="0" applyBorder="0" applyAlignment="0" applyProtection="0"/>
    <xf numFmtId="207" fontId="51" fillId="0" borderId="0" applyFont="0" applyFill="0" applyBorder="0" applyAlignment="0" applyProtection="0"/>
    <xf numFmtId="208" fontId="73" fillId="0" borderId="0" applyFont="0" applyFill="0" applyBorder="0" applyAlignment="0" applyProtection="0"/>
    <xf numFmtId="209" fontId="51" fillId="0" borderId="0" applyFont="0" applyFill="0" applyBorder="0" applyAlignment="0" applyProtection="0"/>
    <xf numFmtId="169" fontId="6" fillId="0" borderId="0" applyNumberFormat="0" applyFill="0" applyBorder="0" applyAlignment="0" applyProtection="0"/>
    <xf numFmtId="43" fontId="6" fillId="0" borderId="0" applyNumberFormat="0" applyFill="0" applyBorder="0" applyAlignment="0" applyProtection="0"/>
    <xf numFmtId="16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210" fontId="15" fillId="0" borderId="0"/>
    <xf numFmtId="3" fontId="42" fillId="0" borderId="0" applyFill="0" applyBorder="0" applyProtection="0">
      <alignment vertical="top"/>
    </xf>
    <xf numFmtId="0" fontId="31" fillId="0" borderId="0" applyNumberFormat="0" applyFill="0" applyBorder="0" applyAlignment="0" applyProtection="0"/>
    <xf numFmtId="211" fontId="54" fillId="0" borderId="0" applyFill="0" applyBorder="0" applyProtection="0"/>
    <xf numFmtId="212" fontId="8" fillId="0" borderId="0" applyFont="0" applyFill="0" applyBorder="0" applyAlignment="0" applyProtection="0"/>
    <xf numFmtId="213" fontId="15" fillId="0" borderId="0" applyFill="0" applyBorder="0" applyProtection="0"/>
    <xf numFmtId="213" fontId="15" fillId="0" borderId="10" applyFill="0" applyProtection="0"/>
    <xf numFmtId="213" fontId="15" fillId="0" borderId="12" applyFill="0" applyProtection="0"/>
    <xf numFmtId="168" fontId="8" fillId="0" borderId="0" applyFont="0" applyFill="0" applyBorder="0" applyAlignment="0" applyProtection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199" fontId="68" fillId="0" borderId="0" applyFont="0" applyFill="0" applyBorder="0" applyAlignment="0" applyProtection="0"/>
    <xf numFmtId="215" fontId="73" fillId="0" borderId="0" applyFont="0" applyFill="0" applyBorder="0" applyAlignment="0" applyProtection="0"/>
    <xf numFmtId="216" fontId="51" fillId="0" borderId="0" applyFont="0" applyFill="0" applyBorder="0" applyAlignment="0" applyProtection="0"/>
    <xf numFmtId="217" fontId="73" fillId="0" borderId="0" applyFont="0" applyFill="0" applyBorder="0" applyAlignment="0" applyProtection="0"/>
    <xf numFmtId="218" fontId="51" fillId="0" borderId="0" applyFont="0" applyFill="0" applyBorder="0" applyAlignment="0" applyProtection="0"/>
    <xf numFmtId="219" fontId="73" fillId="0" borderId="0" applyFont="0" applyFill="0" applyBorder="0" applyAlignment="0" applyProtection="0"/>
    <xf numFmtId="220" fontId="51" fillId="0" borderId="0" applyFont="0" applyFill="0" applyBorder="0" applyAlignment="0" applyProtection="0"/>
    <xf numFmtId="168" fontId="8" fillId="0" borderId="0" applyFont="0" applyFill="0" applyBorder="0" applyAlignment="0" applyProtection="0"/>
    <xf numFmtId="178" fontId="42" fillId="0" borderId="0" applyFill="0" applyBorder="0" applyProtection="0">
      <alignment vertical="top"/>
    </xf>
    <xf numFmtId="221" fontId="6" fillId="0" borderId="0"/>
    <xf numFmtId="0" fontId="40" fillId="20" borderId="0" applyNumberFormat="0" applyFont="0" applyFill="0" applyBorder="0" applyProtection="0">
      <alignment horizontal="left"/>
    </xf>
    <xf numFmtId="0" fontId="42" fillId="0" borderId="0" applyFill="0" applyBorder="0" applyProtection="0">
      <alignment vertical="top"/>
    </xf>
    <xf numFmtId="14" fontId="33" fillId="0" borderId="0" applyFill="0" applyBorder="0" applyAlignment="0"/>
    <xf numFmtId="0" fontId="39" fillId="0" borderId="0" applyProtection="0"/>
    <xf numFmtId="222" fontId="15" fillId="0" borderId="0" applyFill="0" applyBorder="0" applyProtection="0"/>
    <xf numFmtId="222" fontId="15" fillId="0" borderId="10" applyFill="0" applyProtection="0"/>
    <xf numFmtId="222" fontId="15" fillId="0" borderId="12" applyFill="0" applyProtection="0"/>
    <xf numFmtId="223" fontId="6" fillId="0" borderId="13">
      <alignment vertical="center"/>
    </xf>
    <xf numFmtId="224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226" fontId="6" fillId="0" borderId="0"/>
    <xf numFmtId="175" fontId="68" fillId="0" borderId="0" applyFill="0" applyBorder="0" applyAlignment="0"/>
    <xf numFmtId="199" fontId="68" fillId="0" borderId="0" applyFill="0" applyBorder="0" applyAlignment="0"/>
    <xf numFmtId="175" fontId="68" fillId="0" borderId="0" applyFill="0" applyBorder="0" applyAlignment="0"/>
    <xf numFmtId="202" fontId="68" fillId="0" borderId="0" applyFill="0" applyBorder="0" applyAlignment="0"/>
    <xf numFmtId="199" fontId="68" fillId="0" borderId="0" applyFill="0" applyBorder="0" applyAlignment="0"/>
    <xf numFmtId="227" fontId="6" fillId="0" borderId="0" applyFont="0" applyFill="0" applyBorder="0" applyAlignment="0" applyProtection="0"/>
    <xf numFmtId="0" fontId="74" fillId="0" borderId="0" applyProtection="0"/>
    <xf numFmtId="0" fontId="75" fillId="0" borderId="0" applyProtection="0"/>
    <xf numFmtId="0" fontId="76" fillId="0" borderId="0" applyProtection="0"/>
    <xf numFmtId="0" fontId="77" fillId="0" borderId="0" applyProtection="0"/>
    <xf numFmtId="0" fontId="78" fillId="0" borderId="0" applyNumberFormat="0" applyFont="0" applyFill="0" applyBorder="0" applyAlignment="0" applyProtection="0"/>
    <xf numFmtId="0" fontId="79" fillId="0" borderId="0" applyProtection="0"/>
    <xf numFmtId="0" fontId="80" fillId="0" borderId="0" applyProtection="0"/>
    <xf numFmtId="2" fontId="42" fillId="0" borderId="0" applyFill="0" applyBorder="0" applyProtection="0">
      <alignment vertical="top"/>
    </xf>
    <xf numFmtId="38" fontId="52" fillId="20" borderId="0" applyNumberFormat="0" applyBorder="0" applyAlignment="0" applyProtection="0"/>
    <xf numFmtId="0" fontId="81" fillId="0" borderId="0" applyNumberFormat="0" applyFont="0" applyBorder="0" applyAlignment="0">
      <alignment horizontal="left" vertical="center"/>
    </xf>
    <xf numFmtId="0" fontId="82" fillId="0" borderId="0">
      <alignment horizontal="left"/>
    </xf>
    <xf numFmtId="0" fontId="44" fillId="0" borderId="14" applyNumberFormat="0" applyProtection="0">
      <alignment vertical="top"/>
    </xf>
    <xf numFmtId="0" fontId="44" fillId="0" borderId="15">
      <alignment horizontal="left" vertical="center"/>
    </xf>
    <xf numFmtId="14" fontId="40" fillId="21" borderId="16">
      <alignment horizontal="center" vertical="center" wrapText="1"/>
    </xf>
    <xf numFmtId="0" fontId="70" fillId="0" borderId="0" applyFill="0" applyAlignment="0" applyProtection="0">
      <protection locked="0"/>
    </xf>
    <xf numFmtId="0" fontId="70" fillId="0" borderId="17" applyFill="0" applyAlignment="0" applyProtection="0">
      <protection locked="0"/>
    </xf>
    <xf numFmtId="0" fontId="83" fillId="0" borderId="0" applyProtection="0"/>
    <xf numFmtId="0" fontId="44" fillId="0" borderId="0" applyProtection="0"/>
    <xf numFmtId="164" fontId="84" fillId="22" borderId="1" applyNumberFormat="0" applyAlignment="0">
      <alignment horizontal="left" vertical="top"/>
    </xf>
    <xf numFmtId="49" fontId="85" fillId="0" borderId="1">
      <alignment vertical="center"/>
    </xf>
    <xf numFmtId="0" fontId="41" fillId="23" borderId="0">
      <alignment horizontal="left" wrapText="1" indent="2"/>
    </xf>
    <xf numFmtId="10" fontId="52" fillId="23" borderId="1" applyNumberFormat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175" fontId="68" fillId="0" borderId="0" applyFill="0" applyBorder="0" applyAlignment="0"/>
    <xf numFmtId="199" fontId="68" fillId="0" borderId="0" applyFill="0" applyBorder="0" applyAlignment="0"/>
    <xf numFmtId="175" fontId="68" fillId="0" borderId="0" applyFill="0" applyBorder="0" applyAlignment="0"/>
    <xf numFmtId="202" fontId="68" fillId="0" borderId="0" applyFill="0" applyBorder="0" applyAlignment="0"/>
    <xf numFmtId="199" fontId="68" fillId="0" borderId="0" applyFill="0" applyBorder="0" applyAlignment="0"/>
    <xf numFmtId="38" fontId="71" fillId="0" borderId="0" applyFont="0" applyFill="0" applyBorder="0" applyAlignment="0" applyProtection="0"/>
    <xf numFmtId="40" fontId="71" fillId="0" borderId="0" applyFont="0" applyFill="0" applyBorder="0" applyAlignment="0" applyProtection="0"/>
    <xf numFmtId="0" fontId="86" fillId="0" borderId="16"/>
    <xf numFmtId="228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30" fontId="6" fillId="0" borderId="0" applyFont="0" applyFill="0" applyBorder="0" applyAlignment="0" applyProtection="0"/>
    <xf numFmtId="231" fontId="6" fillId="0" borderId="0" applyFont="0" applyFill="0" applyBorder="0" applyAlignment="0" applyProtection="0"/>
    <xf numFmtId="0" fontId="42" fillId="0" borderId="0" applyNumberFormat="0" applyFill="0">
      <alignment vertical="top"/>
    </xf>
    <xf numFmtId="0" fontId="42" fillId="0" borderId="0" applyNumberFormat="0" applyFill="0">
      <alignment vertical="top"/>
    </xf>
    <xf numFmtId="0" fontId="15" fillId="0" borderId="0"/>
    <xf numFmtId="37" fontId="87" fillId="0" borderId="0"/>
    <xf numFmtId="0" fontId="88" fillId="0" borderId="1" applyNumberFormat="0" applyFont="0" applyFill="0" applyBorder="0" applyAlignment="0">
      <alignment horizontal="center"/>
    </xf>
    <xf numFmtId="179" fontId="16" fillId="0" borderId="0"/>
    <xf numFmtId="0" fontId="89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8" fillId="0" borderId="0"/>
    <xf numFmtId="0" fontId="32" fillId="0" borderId="0"/>
    <xf numFmtId="0" fontId="70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15" fillId="0" borderId="0"/>
    <xf numFmtId="0" fontId="90" fillId="24" borderId="0"/>
    <xf numFmtId="9" fontId="8" fillId="0" borderId="0" applyFont="0" applyFill="0" applyBorder="0" applyAlignment="0" applyProtection="0"/>
    <xf numFmtId="232" fontId="70" fillId="0" borderId="0" applyFont="0" applyFill="0" applyBorder="0" applyAlignment="0" applyProtection="0"/>
    <xf numFmtId="233" fontId="8" fillId="0" borderId="0" applyFont="0" applyFill="0" applyBorder="0" applyAlignment="0" applyProtection="0"/>
    <xf numFmtId="234" fontId="73" fillId="0" borderId="0" applyFont="0" applyFill="0" applyBorder="0" applyAlignment="0" applyProtection="0"/>
    <xf numFmtId="235" fontId="6" fillId="0" borderId="0" applyFont="0" applyFill="0" applyBorder="0" applyAlignment="0" applyProtection="0"/>
    <xf numFmtId="235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236" fontId="73" fillId="0" borderId="0" applyFont="0" applyFill="0" applyBorder="0" applyAlignment="0" applyProtection="0"/>
    <xf numFmtId="237" fontId="8" fillId="0" borderId="0" applyFont="0" applyFill="0" applyBorder="0" applyAlignment="0" applyProtection="0"/>
    <xf numFmtId="238" fontId="73" fillId="0" borderId="0" applyFont="0" applyFill="0" applyBorder="0" applyAlignment="0" applyProtection="0"/>
    <xf numFmtId="239" fontId="8" fillId="0" borderId="0" applyFont="0" applyFill="0" applyBorder="0" applyAlignment="0" applyProtection="0"/>
    <xf numFmtId="240" fontId="73" fillId="0" borderId="0" applyFont="0" applyFill="0" applyBorder="0" applyAlignment="0" applyProtection="0"/>
    <xf numFmtId="241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175" fontId="68" fillId="0" borderId="0" applyFill="0" applyBorder="0" applyAlignment="0"/>
    <xf numFmtId="199" fontId="68" fillId="0" borderId="0" applyFill="0" applyBorder="0" applyAlignment="0"/>
    <xf numFmtId="175" fontId="68" fillId="0" borderId="0" applyFill="0" applyBorder="0" applyAlignment="0"/>
    <xf numFmtId="202" fontId="68" fillId="0" borderId="0" applyFill="0" applyBorder="0" applyAlignment="0"/>
    <xf numFmtId="199" fontId="68" fillId="0" borderId="0" applyFill="0" applyBorder="0" applyAlignment="0"/>
    <xf numFmtId="0" fontId="91" fillId="0" borderId="0"/>
    <xf numFmtId="0" fontId="71" fillId="0" borderId="0" applyNumberFormat="0" applyFont="0" applyFill="0" applyBorder="0" applyAlignment="0" applyProtection="0">
      <alignment horizontal="left"/>
    </xf>
    <xf numFmtId="0" fontId="71" fillId="0" borderId="0" applyNumberFormat="0" applyFont="0" applyFill="0" applyBorder="0" applyAlignment="0" applyProtection="0">
      <alignment horizontal="left"/>
    </xf>
    <xf numFmtId="0" fontId="92" fillId="0" borderId="16">
      <alignment horizontal="center"/>
    </xf>
    <xf numFmtId="0" fontId="6" fillId="25" borderId="0"/>
    <xf numFmtId="0" fontId="33" fillId="0" borderId="0">
      <alignment vertical="top"/>
    </xf>
    <xf numFmtId="0" fontId="33" fillId="0" borderId="0">
      <alignment vertical="top"/>
    </xf>
    <xf numFmtId="0" fontId="86" fillId="0" borderId="0"/>
    <xf numFmtId="0" fontId="49" fillId="23" borderId="0">
      <alignment wrapText="1"/>
    </xf>
    <xf numFmtId="180" fontId="45" fillId="0" borderId="18">
      <alignment horizontal="right" vertical="center"/>
    </xf>
    <xf numFmtId="242" fontId="36" fillId="0" borderId="2">
      <alignment horizontal="right" vertical="center"/>
    </xf>
    <xf numFmtId="242" fontId="36" fillId="0" borderId="2">
      <alignment horizontal="right" vertical="center"/>
    </xf>
    <xf numFmtId="243" fontId="45" fillId="0" borderId="2">
      <alignment horizontal="right" vertical="center"/>
    </xf>
    <xf numFmtId="243" fontId="45" fillId="0" borderId="2">
      <alignment horizontal="right" vertical="center"/>
    </xf>
    <xf numFmtId="242" fontId="36" fillId="0" borderId="2">
      <alignment horizontal="right" vertical="center"/>
    </xf>
    <xf numFmtId="242" fontId="36" fillId="0" borderId="2">
      <alignment horizontal="right" vertical="center"/>
    </xf>
    <xf numFmtId="243" fontId="45" fillId="0" borderId="2">
      <alignment horizontal="right" vertical="center"/>
    </xf>
    <xf numFmtId="243" fontId="45" fillId="0" borderId="2">
      <alignment horizontal="right" vertical="center"/>
    </xf>
    <xf numFmtId="243" fontId="45" fillId="0" borderId="2">
      <alignment horizontal="right" vertical="center"/>
    </xf>
    <xf numFmtId="243" fontId="45" fillId="0" borderId="2">
      <alignment horizontal="right" vertical="center"/>
    </xf>
    <xf numFmtId="242" fontId="36" fillId="0" borderId="2">
      <alignment horizontal="right" vertical="center"/>
    </xf>
    <xf numFmtId="243" fontId="45" fillId="0" borderId="2">
      <alignment horizontal="right" vertical="center"/>
    </xf>
    <xf numFmtId="242" fontId="36" fillId="0" borderId="2">
      <alignment horizontal="right" vertical="center"/>
    </xf>
    <xf numFmtId="243" fontId="45" fillId="0" borderId="2">
      <alignment horizontal="right" vertical="center"/>
    </xf>
    <xf numFmtId="242" fontId="36" fillId="0" borderId="2">
      <alignment horizontal="right" vertical="center"/>
    </xf>
    <xf numFmtId="243" fontId="45" fillId="0" borderId="2">
      <alignment horizontal="right" vertical="center"/>
    </xf>
    <xf numFmtId="49" fontId="33" fillId="0" borderId="0" applyFill="0" applyBorder="0" applyAlignment="0"/>
    <xf numFmtId="244" fontId="6" fillId="0" borderId="0" applyFill="0" applyBorder="0" applyAlignment="0"/>
    <xf numFmtId="244" fontId="6" fillId="0" borderId="0" applyFill="0" applyBorder="0" applyAlignment="0"/>
    <xf numFmtId="245" fontId="6" fillId="0" borderId="0" applyFill="0" applyBorder="0" applyAlignment="0"/>
    <xf numFmtId="245" fontId="6" fillId="0" borderId="0" applyFill="0" applyBorder="0" applyAlignment="0"/>
    <xf numFmtId="181" fontId="45" fillId="0" borderId="18">
      <alignment horizontal="center"/>
    </xf>
    <xf numFmtId="0" fontId="93" fillId="0" borderId="19"/>
    <xf numFmtId="0" fontId="94" fillId="0" borderId="19"/>
    <xf numFmtId="0" fontId="70" fillId="0" borderId="0" applyNumberFormat="0" applyFill="0" applyBorder="0" applyAlignment="0" applyProtection="0"/>
    <xf numFmtId="0" fontId="95" fillId="0" borderId="0" applyFill="0" applyBorder="0" applyProtection="0">
      <alignment horizontal="left" vertical="top"/>
    </xf>
    <xf numFmtId="182" fontId="45" fillId="0" borderId="0"/>
    <xf numFmtId="183" fontId="45" fillId="0" borderId="20"/>
    <xf numFmtId="0" fontId="96" fillId="0" borderId="0"/>
    <xf numFmtId="0" fontId="96" fillId="0" borderId="0"/>
    <xf numFmtId="164" fontId="97" fillId="26" borderId="7">
      <alignment vertical="top"/>
    </xf>
    <xf numFmtId="0" fontId="98" fillId="27" borderId="1">
      <alignment horizontal="left" vertical="center"/>
    </xf>
    <xf numFmtId="165" fontId="99" fillId="28" borderId="7"/>
    <xf numFmtId="164" fontId="84" fillId="0" borderId="7">
      <alignment horizontal="left" vertical="top"/>
    </xf>
    <xf numFmtId="0" fontId="100" fillId="29" borderId="0">
      <alignment horizontal="left" vertical="center"/>
    </xf>
    <xf numFmtId="164" fontId="16" fillId="0" borderId="8">
      <alignment horizontal="left" vertical="top"/>
    </xf>
    <xf numFmtId="0" fontId="101" fillId="0" borderId="8">
      <alignment horizontal="left" vertical="center"/>
    </xf>
    <xf numFmtId="246" fontId="6" fillId="0" borderId="0" applyFont="0" applyFill="0" applyBorder="0" applyAlignment="0" applyProtection="0"/>
    <xf numFmtId="247" fontId="6" fillId="0" borderId="0" applyFont="0" applyFill="0" applyBorder="0" applyAlignment="0" applyProtection="0"/>
    <xf numFmtId="0" fontId="102" fillId="0" borderId="0" applyNumberFormat="0" applyFill="0" applyBorder="0" applyAlignment="0" applyProtection="0"/>
    <xf numFmtId="166" fontId="103" fillId="0" borderId="0" applyFont="0" applyFill="0" applyBorder="0" applyAlignment="0" applyProtection="0"/>
    <xf numFmtId="168" fontId="103" fillId="0" borderId="0" applyFont="0" applyFill="0" applyBorder="0" applyAlignment="0" applyProtection="0"/>
    <xf numFmtId="0" fontId="103" fillId="0" borderId="0"/>
    <xf numFmtId="0" fontId="42" fillId="0" borderId="0" applyFill="0" applyBorder="0" applyProtection="0">
      <alignment vertical="top"/>
    </xf>
    <xf numFmtId="0" fontId="42" fillId="0" borderId="0" applyFill="0" applyBorder="0" applyProtection="0">
      <alignment vertical="top"/>
    </xf>
    <xf numFmtId="0" fontId="23" fillId="0" borderId="0">
      <alignment vertical="center"/>
    </xf>
    <xf numFmtId="40" fontId="42" fillId="0" borderId="0" applyFill="0" applyBorder="0" applyProtection="0">
      <alignment vertical="top"/>
    </xf>
    <xf numFmtId="38" fontId="42" fillId="0" borderId="0" applyFill="0" applyBorder="0" applyProtection="0">
      <alignment vertical="top"/>
    </xf>
    <xf numFmtId="0" fontId="42" fillId="0" borderId="0" applyFill="0" applyBorder="0" applyProtection="0">
      <alignment vertical="top"/>
    </xf>
    <xf numFmtId="0" fontId="42" fillId="0" borderId="0" applyFill="0" applyBorder="0" applyProtection="0">
      <alignment vertical="top"/>
    </xf>
    <xf numFmtId="9" fontId="42" fillId="0" borderId="0" applyFill="0" applyBorder="0" applyProtection="0">
      <alignment vertical="top"/>
    </xf>
    <xf numFmtId="0" fontId="4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186" fontId="42" fillId="0" borderId="0" applyFill="0" applyBorder="0" applyProtection="0">
      <alignment vertical="top"/>
    </xf>
    <xf numFmtId="187" fontId="42" fillId="0" borderId="0" applyFill="0" applyBorder="0" applyProtection="0">
      <alignment vertical="top"/>
    </xf>
    <xf numFmtId="0" fontId="47" fillId="0" borderId="0"/>
    <xf numFmtId="0" fontId="39" fillId="0" borderId="0"/>
    <xf numFmtId="184" fontId="42" fillId="0" borderId="0" applyFill="0" applyBorder="0" applyProtection="0">
      <alignment vertical="top"/>
    </xf>
    <xf numFmtId="185" fontId="42" fillId="0" borderId="0" applyFill="0" applyBorder="0" applyProtection="0">
      <alignment vertical="top"/>
    </xf>
    <xf numFmtId="192" fontId="106" fillId="0" borderId="0" applyFont="0" applyFill="0" applyBorder="0" applyAlignment="0" applyProtection="0"/>
    <xf numFmtId="198" fontId="106" fillId="0" borderId="0" applyFont="0" applyFill="0" applyBorder="0" applyAlignment="0" applyProtection="0"/>
    <xf numFmtId="0" fontId="48" fillId="0" borderId="0"/>
    <xf numFmtId="188" fontId="42" fillId="0" borderId="0" applyFill="0" applyBorder="0" applyProtection="0">
      <alignment vertical="top"/>
    </xf>
    <xf numFmtId="189" fontId="42" fillId="0" borderId="0" applyFill="0" applyBorder="0" applyProtection="0">
      <alignment vertical="top"/>
    </xf>
    <xf numFmtId="190" fontId="42" fillId="0" borderId="0" applyFill="0" applyBorder="0" applyProtection="0">
      <alignment vertical="top"/>
    </xf>
    <xf numFmtId="168" fontId="106" fillId="0" borderId="0" applyFont="0" applyFill="0" applyBorder="0" applyAlignment="0" applyProtection="0"/>
    <xf numFmtId="166" fontId="106" fillId="0" borderId="0" applyFont="0" applyFill="0" applyBorder="0" applyAlignment="0" applyProtection="0"/>
    <xf numFmtId="0" fontId="6" fillId="0" borderId="0"/>
    <xf numFmtId="177" fontId="36" fillId="0" borderId="0"/>
    <xf numFmtId="176" fontId="36" fillId="0" borderId="0" applyFont="0" applyFill="0" applyBorder="0" applyAlignment="0" applyProtection="0"/>
    <xf numFmtId="0" fontId="107" fillId="0" borderId="0"/>
    <xf numFmtId="176" fontId="107" fillId="0" borderId="0" applyFont="0" applyFill="0" applyBorder="0" applyAlignment="0" applyProtection="0"/>
    <xf numFmtId="0" fontId="108" fillId="0" borderId="0"/>
    <xf numFmtId="0" fontId="108" fillId="0" borderId="0"/>
    <xf numFmtId="0" fontId="38" fillId="0" borderId="0"/>
    <xf numFmtId="169" fontId="38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3" fontId="71" fillId="0" borderId="1"/>
    <xf numFmtId="213" fontId="15" fillId="0" borderId="21" applyFill="0" applyProtection="0"/>
    <xf numFmtId="222" fontId="15" fillId="0" borderId="21" applyFill="0" applyProtection="0"/>
    <xf numFmtId="164" fontId="84" fillId="22" borderId="1" applyNumberFormat="0" applyAlignment="0">
      <alignment horizontal="left" vertical="top"/>
    </xf>
    <xf numFmtId="49" fontId="85" fillId="0" borderId="1">
      <alignment vertical="center"/>
    </xf>
    <xf numFmtId="10" fontId="52" fillId="23" borderId="1" applyNumberFormat="0" applyBorder="0" applyAlignment="0" applyProtection="0"/>
    <xf numFmtId="0" fontId="88" fillId="0" borderId="1" applyNumberFormat="0" applyFont="0" applyFill="0" applyBorder="0" applyAlignment="0">
      <alignment horizontal="center"/>
    </xf>
    <xf numFmtId="164" fontId="97" fillId="26" borderId="7">
      <alignment vertical="top"/>
    </xf>
    <xf numFmtId="0" fontId="98" fillId="27" borderId="1">
      <alignment horizontal="left" vertical="center"/>
    </xf>
    <xf numFmtId="165" fontId="99" fillId="28" borderId="7"/>
    <xf numFmtId="164" fontId="84" fillId="0" borderId="7">
      <alignment horizontal="left" vertical="top"/>
    </xf>
    <xf numFmtId="169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6" fillId="0" borderId="0">
      <alignment vertical="center"/>
    </xf>
    <xf numFmtId="169" fontId="2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>
      <alignment vertical="center"/>
    </xf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21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2" fillId="0" borderId="0"/>
    <xf numFmtId="169" fontId="110" fillId="0" borderId="0" applyFont="0" applyFill="0" applyBorder="0" applyAlignment="0" applyProtection="0"/>
    <xf numFmtId="0" fontId="21" fillId="0" borderId="0"/>
    <xf numFmtId="16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</cellStyleXfs>
  <cellXfs count="361">
    <xf numFmtId="0" fontId="0" fillId="0" borderId="0" xfId="0"/>
    <xf numFmtId="0" fontId="5" fillId="2" borderId="0" xfId="0" applyFont="1" applyFill="1" applyAlignment="1">
      <alignment horizontal="center" vertical="center"/>
    </xf>
    <xf numFmtId="170" fontId="7" fillId="2" borderId="1" xfId="3" applyNumberFormat="1" applyFont="1" applyFill="1" applyBorder="1" applyAlignment="1">
      <alignment horizontal="left" vertical="center"/>
    </xf>
    <xf numFmtId="170" fontId="8" fillId="2" borderId="1" xfId="3" applyNumberFormat="1" applyFont="1" applyFill="1" applyBorder="1" applyAlignment="1">
      <alignment horizontal="left" vertical="center"/>
    </xf>
    <xf numFmtId="170" fontId="7" fillId="2" borderId="1" xfId="3" applyNumberFormat="1" applyFont="1" applyFill="1" applyBorder="1" applyAlignment="1">
      <alignment vertical="center"/>
    </xf>
    <xf numFmtId="170" fontId="7" fillId="4" borderId="1" xfId="3" applyNumberFormat="1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70" fontId="7" fillId="3" borderId="1" xfId="3" applyNumberFormat="1" applyFont="1" applyFill="1" applyBorder="1" applyAlignment="1">
      <alignment horizontal="center" vertical="center"/>
    </xf>
    <xf numFmtId="171" fontId="7" fillId="3" borderId="1" xfId="1" applyNumberFormat="1" applyFont="1" applyFill="1" applyBorder="1" applyAlignment="1">
      <alignment horizontal="center" vertical="center"/>
    </xf>
    <xf numFmtId="170" fontId="7" fillId="6" borderId="1" xfId="3" applyNumberFormat="1" applyFont="1" applyFill="1" applyBorder="1" applyAlignment="1">
      <alignment horizontal="center" vertical="center"/>
    </xf>
    <xf numFmtId="170" fontId="7" fillId="4" borderId="1" xfId="3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170" fontId="7" fillId="5" borderId="1" xfId="3" applyNumberFormat="1" applyFont="1" applyFill="1" applyBorder="1" applyAlignment="1">
      <alignment horizontal="center" vertical="center"/>
    </xf>
    <xf numFmtId="172" fontId="7" fillId="2" borderId="1" xfId="3" applyNumberFormat="1" applyFont="1" applyFill="1" applyBorder="1" applyAlignment="1">
      <alignment horizontal="left" vertical="center"/>
    </xf>
    <xf numFmtId="172" fontId="11" fillId="2" borderId="2" xfId="3" applyNumberFormat="1" applyFont="1" applyFill="1" applyBorder="1" applyAlignment="1">
      <alignment horizontal="center" vertical="center"/>
    </xf>
    <xf numFmtId="172" fontId="7" fillId="2" borderId="1" xfId="3" applyNumberFormat="1" applyFont="1" applyFill="1" applyBorder="1" applyAlignment="1">
      <alignment horizontal="justify" vertical="center"/>
    </xf>
    <xf numFmtId="171" fontId="7" fillId="2" borderId="1" xfId="3" applyNumberFormat="1" applyFont="1" applyFill="1" applyBorder="1" applyAlignment="1">
      <alignment horizontal="right" vertical="center"/>
    </xf>
    <xf numFmtId="172" fontId="7" fillId="2" borderId="1" xfId="3" applyNumberFormat="1" applyFont="1" applyFill="1" applyBorder="1" applyAlignment="1">
      <alignment horizontal="left" vertical="center" wrapText="1"/>
    </xf>
    <xf numFmtId="171" fontId="7" fillId="2" borderId="1" xfId="3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13" fillId="7" borderId="5" xfId="4" quotePrefix="1" applyFont="1" applyFill="1" applyBorder="1" applyAlignment="1">
      <alignment horizontal="center" vertical="center"/>
    </xf>
    <xf numFmtId="172" fontId="7" fillId="7" borderId="1" xfId="3" applyNumberFormat="1" applyFont="1" applyFill="1" applyBorder="1" applyAlignment="1">
      <alignment horizontal="left" vertical="center"/>
    </xf>
    <xf numFmtId="172" fontId="7" fillId="7" borderId="1" xfId="3" applyNumberFormat="1" applyFont="1" applyFill="1" applyBorder="1" applyAlignment="1">
      <alignment horizontal="justify" vertical="center"/>
    </xf>
    <xf numFmtId="171" fontId="7" fillId="7" borderId="1" xfId="3" applyNumberFormat="1" applyFont="1" applyFill="1" applyBorder="1" applyAlignment="1">
      <alignment horizontal="right" vertical="center"/>
    </xf>
    <xf numFmtId="171" fontId="8" fillId="2" borderId="1" xfId="3" applyNumberFormat="1" applyFont="1" applyFill="1" applyBorder="1" applyAlignment="1">
      <alignment horizontal="right" vertical="center"/>
    </xf>
    <xf numFmtId="172" fontId="7" fillId="7" borderId="1" xfId="3" applyNumberFormat="1" applyFont="1" applyFill="1" applyBorder="1" applyAlignment="1">
      <alignment horizontal="left" vertical="center" wrapText="1"/>
    </xf>
    <xf numFmtId="171" fontId="7" fillId="7" borderId="1" xfId="3" applyNumberFormat="1" applyFont="1" applyFill="1" applyBorder="1" applyAlignment="1">
      <alignment horizontal="left" vertical="center"/>
    </xf>
    <xf numFmtId="0" fontId="4" fillId="7" borderId="0" xfId="0" applyFont="1" applyFill="1" applyAlignment="1">
      <alignment vertical="center"/>
    </xf>
    <xf numFmtId="0" fontId="14" fillId="8" borderId="0" xfId="4" quotePrefix="1" applyFont="1" applyFill="1" applyAlignment="1">
      <alignment horizontal="center" vertical="center"/>
    </xf>
    <xf numFmtId="0" fontId="9" fillId="8" borderId="1" xfId="4" quotePrefix="1" applyFont="1" applyFill="1" applyBorder="1" applyAlignment="1">
      <alignment horizontal="left" vertical="center"/>
    </xf>
    <xf numFmtId="172" fontId="8" fillId="8" borderId="1" xfId="3" applyNumberFormat="1" applyFont="1" applyFill="1" applyBorder="1" applyAlignment="1">
      <alignment horizontal="justify" vertical="center"/>
    </xf>
    <xf numFmtId="171" fontId="7" fillId="8" borderId="1" xfId="3" applyNumberFormat="1" applyFont="1" applyFill="1" applyBorder="1" applyAlignment="1">
      <alignment horizontal="right" vertical="center"/>
    </xf>
    <xf numFmtId="171" fontId="8" fillId="8" borderId="1" xfId="3" applyNumberFormat="1" applyFont="1" applyFill="1" applyBorder="1" applyAlignment="1">
      <alignment horizontal="right" vertical="center"/>
    </xf>
    <xf numFmtId="172" fontId="8" fillId="8" borderId="1" xfId="3" applyNumberFormat="1" applyFont="1" applyFill="1" applyBorder="1" applyAlignment="1">
      <alignment horizontal="left" vertical="center" wrapText="1"/>
    </xf>
    <xf numFmtId="171" fontId="8" fillId="8" borderId="1" xfId="3" applyNumberFormat="1" applyFont="1" applyFill="1" applyBorder="1" applyAlignment="1">
      <alignment horizontal="left" vertical="center"/>
    </xf>
    <xf numFmtId="0" fontId="0" fillId="8" borderId="0" xfId="0" applyFill="1" applyAlignment="1">
      <alignment vertical="center"/>
    </xf>
    <xf numFmtId="0" fontId="14" fillId="0" borderId="0" xfId="4" quotePrefix="1" applyFont="1" applyAlignment="1">
      <alignment horizontal="center" vertical="center"/>
    </xf>
    <xf numFmtId="172" fontId="8" fillId="2" borderId="1" xfId="3" applyNumberFormat="1" applyFont="1" applyFill="1" applyBorder="1" applyAlignment="1">
      <alignment horizontal="left" vertical="center"/>
    </xf>
    <xf numFmtId="0" fontId="8" fillId="0" borderId="1" xfId="5" applyNumberFormat="1" applyFont="1" applyBorder="1" applyAlignment="1" applyProtection="1">
      <alignment vertical="center" wrapText="1"/>
      <protection locked="0"/>
    </xf>
    <xf numFmtId="167" fontId="9" fillId="2" borderId="1" xfId="5" applyNumberFormat="1" applyFont="1" applyFill="1" applyBorder="1" applyAlignment="1" applyProtection="1">
      <alignment horizontal="left" vertical="center" wrapText="1" shrinkToFit="1"/>
      <protection locked="0"/>
    </xf>
    <xf numFmtId="171" fontId="8" fillId="2" borderId="1" xfId="3" applyNumberFormat="1" applyFont="1" applyFill="1" applyBorder="1" applyAlignment="1">
      <alignment horizontal="left" vertical="center"/>
    </xf>
    <xf numFmtId="0" fontId="8" fillId="0" borderId="1" xfId="5" applyNumberFormat="1" applyFont="1" applyBorder="1" applyAlignment="1" applyProtection="1">
      <alignment horizontal="left" vertical="center" wrapText="1"/>
      <protection locked="0"/>
    </xf>
    <xf numFmtId="0" fontId="8" fillId="2" borderId="1" xfId="5" applyNumberFormat="1" applyFont="1" applyFill="1" applyBorder="1" applyAlignment="1" applyProtection="1">
      <alignment vertical="center" wrapText="1"/>
      <protection locked="0"/>
    </xf>
    <xf numFmtId="0" fontId="8" fillId="2" borderId="1" xfId="5" applyNumberFormat="1" applyFont="1" applyFill="1" applyBorder="1" applyAlignment="1" applyProtection="1">
      <alignment horizontal="left" vertical="center" wrapText="1"/>
      <protection locked="0"/>
    </xf>
    <xf numFmtId="0" fontId="9" fillId="0" borderId="0" xfId="0" applyFont="1" applyAlignment="1">
      <alignment horizontal="left" vertical="center" wrapText="1"/>
    </xf>
    <xf numFmtId="0" fontId="8" fillId="9" borderId="1" xfId="6" applyFont="1" applyFill="1" applyBorder="1" applyAlignment="1">
      <alignment vertical="center" wrapText="1"/>
    </xf>
    <xf numFmtId="0" fontId="8" fillId="0" borderId="1" xfId="6" applyFont="1" applyBorder="1" applyAlignment="1">
      <alignment vertical="center" wrapText="1"/>
    </xf>
    <xf numFmtId="0" fontId="8" fillId="8" borderId="1" xfId="6" applyFont="1" applyFill="1" applyBorder="1" applyAlignment="1">
      <alignment vertical="center" wrapText="1"/>
    </xf>
    <xf numFmtId="0" fontId="8" fillId="8" borderId="1" xfId="5" applyNumberFormat="1" applyFont="1" applyFill="1" applyBorder="1" applyAlignment="1" applyProtection="1">
      <alignment horizontal="left" vertical="center" wrapText="1"/>
      <protection locked="0"/>
    </xf>
    <xf numFmtId="0" fontId="8" fillId="0" borderId="1" xfId="7" applyFont="1" applyBorder="1" applyAlignment="1">
      <alignment vertical="center" wrapText="1"/>
    </xf>
    <xf numFmtId="0" fontId="7" fillId="7" borderId="1" xfId="4" quotePrefix="1" applyFont="1" applyFill="1" applyBorder="1" applyAlignment="1">
      <alignment horizontal="left" vertical="center"/>
    </xf>
    <xf numFmtId="0" fontId="7" fillId="7" borderId="1" xfId="4" quotePrefix="1" applyFont="1" applyFill="1" applyBorder="1" applyAlignment="1">
      <alignment vertical="center"/>
    </xf>
    <xf numFmtId="0" fontId="7" fillId="7" borderId="1" xfId="4" quotePrefix="1" applyFont="1" applyFill="1" applyBorder="1" applyAlignment="1">
      <alignment horizontal="left" vertical="center" wrapText="1"/>
    </xf>
    <xf numFmtId="0" fontId="8" fillId="8" borderId="1" xfId="5" applyNumberFormat="1" applyFont="1" applyFill="1" applyBorder="1" applyAlignment="1" applyProtection="1">
      <alignment vertical="center" wrapText="1"/>
      <protection locked="0"/>
    </xf>
    <xf numFmtId="0" fontId="8" fillId="8" borderId="1" xfId="4" quotePrefix="1" applyFont="1" applyFill="1" applyBorder="1" applyAlignment="1">
      <alignment horizontal="left" vertical="center" wrapText="1"/>
    </xf>
    <xf numFmtId="171" fontId="8" fillId="8" borderId="1" xfId="3" applyNumberFormat="1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/>
    </xf>
    <xf numFmtId="0" fontId="17" fillId="0" borderId="0" xfId="4" quotePrefix="1" applyFont="1" applyAlignment="1">
      <alignment horizontal="center" vertical="center"/>
    </xf>
    <xf numFmtId="0" fontId="19" fillId="8" borderId="1" xfId="0" applyFont="1" applyFill="1" applyBorder="1" applyAlignment="1">
      <alignment horizontal="left" vertical="center"/>
    </xf>
    <xf numFmtId="172" fontId="19" fillId="8" borderId="1" xfId="3" applyNumberFormat="1" applyFont="1" applyFill="1" applyBorder="1" applyAlignment="1">
      <alignment horizontal="justify" vertical="center"/>
    </xf>
    <xf numFmtId="0" fontId="19" fillId="8" borderId="1" xfId="0" applyFont="1" applyFill="1" applyBorder="1" applyAlignment="1">
      <alignment vertical="center"/>
    </xf>
    <xf numFmtId="171" fontId="18" fillId="8" borderId="1" xfId="3" applyNumberFormat="1" applyFont="1" applyFill="1" applyBorder="1" applyAlignment="1">
      <alignment horizontal="right" vertical="center"/>
    </xf>
    <xf numFmtId="171" fontId="19" fillId="2" borderId="1" xfId="3" applyNumberFormat="1" applyFont="1" applyFill="1" applyBorder="1" applyAlignment="1">
      <alignment horizontal="right" vertical="center"/>
    </xf>
    <xf numFmtId="171" fontId="19" fillId="8" borderId="1" xfId="3" applyNumberFormat="1" applyFont="1" applyFill="1" applyBorder="1" applyAlignment="1">
      <alignment horizontal="right" vertical="center"/>
    </xf>
    <xf numFmtId="172" fontId="19" fillId="8" borderId="1" xfId="3" applyNumberFormat="1" applyFont="1" applyFill="1" applyBorder="1" applyAlignment="1">
      <alignment horizontal="left" vertical="center" wrapText="1"/>
    </xf>
    <xf numFmtId="171" fontId="19" fillId="8" borderId="1" xfId="3" applyNumberFormat="1" applyFont="1" applyFill="1" applyBorder="1" applyAlignment="1">
      <alignment horizontal="left" vertical="center"/>
    </xf>
    <xf numFmtId="0" fontId="3" fillId="8" borderId="0" xfId="0" applyFont="1" applyFill="1" applyAlignment="1">
      <alignment vertical="center"/>
    </xf>
    <xf numFmtId="172" fontId="19" fillId="8" borderId="1" xfId="3" applyNumberFormat="1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8" fillId="8" borderId="1" xfId="4" quotePrefix="1" applyFont="1" applyFill="1" applyBorder="1" applyAlignment="1">
      <alignment vertical="center"/>
    </xf>
    <xf numFmtId="0" fontId="9" fillId="8" borderId="1" xfId="0" applyFont="1" applyFill="1" applyBorder="1" applyAlignment="1">
      <alignment vertical="center"/>
    </xf>
    <xf numFmtId="0" fontId="8" fillId="8" borderId="1" xfId="4" quotePrefix="1" applyFont="1" applyFill="1" applyBorder="1" applyAlignment="1">
      <alignment horizontal="left" vertical="center"/>
    </xf>
    <xf numFmtId="0" fontId="10" fillId="7" borderId="1" xfId="0" applyFont="1" applyFill="1" applyBorder="1" applyAlignment="1">
      <alignment vertical="center"/>
    </xf>
    <xf numFmtId="0" fontId="7" fillId="7" borderId="1" xfId="5" applyNumberFormat="1" applyFont="1" applyFill="1" applyBorder="1" applyAlignment="1" applyProtection="1">
      <alignment horizontal="left" vertical="center" wrapText="1"/>
      <protection locked="0"/>
    </xf>
    <xf numFmtId="0" fontId="7" fillId="8" borderId="1" xfId="4" quotePrefix="1" applyFont="1" applyFill="1" applyBorder="1" applyAlignment="1">
      <alignment vertical="center"/>
    </xf>
    <xf numFmtId="0" fontId="7" fillId="8" borderId="1" xfId="4" quotePrefix="1" applyFont="1" applyFill="1" applyBorder="1" applyAlignment="1">
      <alignment horizontal="left" vertical="center" wrapText="1"/>
    </xf>
    <xf numFmtId="0" fontId="4" fillId="8" borderId="0" xfId="0" applyFont="1" applyFill="1" applyAlignment="1">
      <alignment vertical="center"/>
    </xf>
    <xf numFmtId="171" fontId="7" fillId="8" borderId="1" xfId="3" applyNumberFormat="1" applyFont="1" applyFill="1" applyBorder="1" applyAlignment="1">
      <alignment horizontal="left" vertical="center"/>
    </xf>
    <xf numFmtId="0" fontId="19" fillId="8" borderId="1" xfId="4" quotePrefix="1" applyFont="1" applyFill="1" applyBorder="1" applyAlignment="1">
      <alignment horizontal="left" vertical="center"/>
    </xf>
    <xf numFmtId="0" fontId="19" fillId="8" borderId="1" xfId="4" quotePrefix="1" applyFont="1" applyFill="1" applyBorder="1" applyAlignment="1">
      <alignment vertical="center"/>
    </xf>
    <xf numFmtId="0" fontId="19" fillId="8" borderId="1" xfId="4" quotePrefix="1" applyFont="1" applyFill="1" applyBorder="1" applyAlignment="1">
      <alignment horizontal="left" vertical="center" wrapText="1"/>
    </xf>
    <xf numFmtId="173" fontId="20" fillId="8" borderId="6" xfId="0" applyNumberFormat="1" applyFont="1" applyFill="1" applyBorder="1" applyAlignment="1">
      <alignment horizontal="right" vertical="top"/>
    </xf>
    <xf numFmtId="0" fontId="7" fillId="7" borderId="1" xfId="5" applyNumberFormat="1" applyFont="1" applyFill="1" applyBorder="1" applyAlignment="1" applyProtection="1">
      <alignment vertical="center" wrapText="1"/>
      <protection locked="0"/>
    </xf>
    <xf numFmtId="171" fontId="7" fillId="7" borderId="1" xfId="5" applyNumberFormat="1" applyFont="1" applyFill="1" applyBorder="1" applyAlignment="1" applyProtection="1">
      <alignment vertical="center" wrapText="1"/>
      <protection locked="0"/>
    </xf>
    <xf numFmtId="171" fontId="7" fillId="7" borderId="1" xfId="5" applyNumberFormat="1" applyFont="1" applyFill="1" applyBorder="1" applyAlignment="1" applyProtection="1">
      <alignment horizontal="left" vertical="center" wrapText="1"/>
      <protection locked="0"/>
    </xf>
    <xf numFmtId="0" fontId="11" fillId="7" borderId="1" xfId="5" applyNumberFormat="1" applyFont="1" applyFill="1" applyBorder="1" applyAlignment="1" applyProtection="1">
      <alignment vertical="center" wrapText="1"/>
      <protection locked="0"/>
    </xf>
    <xf numFmtId="0" fontId="8" fillId="8" borderId="1" xfId="5" applyNumberFormat="1" applyFont="1" applyFill="1" applyBorder="1" applyAlignment="1" applyProtection="1">
      <alignment horizontal="left" vertical="center"/>
      <protection locked="0"/>
    </xf>
    <xf numFmtId="167" fontId="9" fillId="8" borderId="1" xfId="0" applyNumberFormat="1" applyFont="1" applyFill="1" applyBorder="1" applyAlignment="1">
      <alignment vertical="center"/>
    </xf>
    <xf numFmtId="0" fontId="9" fillId="8" borderId="1" xfId="0" applyFont="1" applyFill="1" applyBorder="1" applyAlignment="1">
      <alignment horizontal="left" vertical="center" wrapText="1"/>
    </xf>
    <xf numFmtId="167" fontId="9" fillId="8" borderId="1" xfId="0" applyNumberFormat="1" applyFont="1" applyFill="1" applyBorder="1" applyAlignment="1">
      <alignment horizontal="left" vertical="center"/>
    </xf>
    <xf numFmtId="0" fontId="7" fillId="7" borderId="1" xfId="4" applyFont="1" applyFill="1" applyBorder="1" applyAlignment="1">
      <alignment horizontal="left" vertical="center"/>
    </xf>
    <xf numFmtId="0" fontId="7" fillId="7" borderId="1" xfId="4" applyFont="1" applyFill="1" applyBorder="1" applyAlignment="1">
      <alignment vertical="center"/>
    </xf>
    <xf numFmtId="0" fontId="7" fillId="7" borderId="1" xfId="4" applyFont="1" applyFill="1" applyBorder="1" applyAlignment="1">
      <alignment horizontal="left" vertical="center" wrapText="1"/>
    </xf>
    <xf numFmtId="0" fontId="8" fillId="8" borderId="1" xfId="4" applyFont="1" applyFill="1" applyBorder="1" applyAlignment="1">
      <alignment vertical="center"/>
    </xf>
    <xf numFmtId="0" fontId="8" fillId="8" borderId="1" xfId="4" applyFont="1" applyFill="1" applyBorder="1" applyAlignment="1">
      <alignment horizontal="left" vertical="center" wrapText="1"/>
    </xf>
    <xf numFmtId="0" fontId="8" fillId="8" borderId="1" xfId="6" applyFont="1" applyFill="1" applyBorder="1" applyAlignment="1">
      <alignment horizontal="left" vertical="center"/>
    </xf>
    <xf numFmtId="0" fontId="8" fillId="8" borderId="1" xfId="7" applyFont="1" applyFill="1" applyBorder="1" applyAlignment="1">
      <alignment horizontal="left" vertical="center"/>
    </xf>
    <xf numFmtId="0" fontId="8" fillId="8" borderId="1" xfId="7" applyFont="1" applyFill="1" applyBorder="1" applyAlignment="1">
      <alignment vertical="center" wrapText="1"/>
    </xf>
    <xf numFmtId="0" fontId="19" fillId="8" borderId="1" xfId="7" applyFont="1" applyFill="1" applyBorder="1" applyAlignment="1">
      <alignment horizontal="left" vertical="center"/>
    </xf>
    <xf numFmtId="0" fontId="19" fillId="8" borderId="1" xfId="4" applyFont="1" applyFill="1" applyBorder="1" applyAlignment="1">
      <alignment vertical="center"/>
    </xf>
    <xf numFmtId="0" fontId="19" fillId="8" borderId="1" xfId="7" applyFont="1" applyFill="1" applyBorder="1" applyAlignment="1">
      <alignment vertical="center" wrapText="1"/>
    </xf>
    <xf numFmtId="0" fontId="7" fillId="7" borderId="1" xfId="7" applyFont="1" applyFill="1" applyBorder="1" applyAlignment="1">
      <alignment horizontal="left" vertical="center"/>
    </xf>
    <xf numFmtId="0" fontId="10" fillId="7" borderId="1" xfId="4" applyFont="1" applyFill="1" applyBorder="1" applyAlignment="1">
      <alignment horizontal="left" vertical="center"/>
    </xf>
    <xf numFmtId="0" fontId="9" fillId="8" borderId="1" xfId="0" quotePrefix="1" applyFont="1" applyFill="1" applyBorder="1" applyAlignment="1">
      <alignment horizontal="left" vertical="center" wrapText="1"/>
    </xf>
    <xf numFmtId="0" fontId="8" fillId="8" borderId="1" xfId="8" applyFont="1" applyFill="1" applyBorder="1" applyAlignment="1">
      <alignment horizontal="left" vertical="center"/>
    </xf>
    <xf numFmtId="0" fontId="8" fillId="8" borderId="1" xfId="8" applyFont="1" applyFill="1" applyBorder="1" applyAlignment="1">
      <alignment vertical="center" wrapText="1"/>
    </xf>
    <xf numFmtId="0" fontId="7" fillId="7" borderId="1" xfId="8" applyFont="1" applyFill="1" applyBorder="1" applyAlignment="1">
      <alignment horizontal="left" vertical="center"/>
    </xf>
    <xf numFmtId="170" fontId="8" fillId="8" borderId="1" xfId="9" applyNumberFormat="1" applyFont="1" applyFill="1" applyBorder="1" applyAlignment="1">
      <alignment horizontal="left" vertical="center"/>
    </xf>
    <xf numFmtId="0" fontId="10" fillId="8" borderId="1" xfId="0" applyFont="1" applyFill="1" applyBorder="1" applyAlignment="1">
      <alignment vertical="center"/>
    </xf>
    <xf numFmtId="170" fontId="8" fillId="8" borderId="1" xfId="9" applyNumberFormat="1" applyFont="1" applyFill="1" applyBorder="1" applyAlignment="1">
      <alignment vertical="center" wrapText="1"/>
    </xf>
    <xf numFmtId="0" fontId="9" fillId="8" borderId="1" xfId="4" applyFont="1" applyFill="1" applyBorder="1" applyAlignment="1">
      <alignment horizontal="left" vertical="center"/>
    </xf>
    <xf numFmtId="0" fontId="9" fillId="8" borderId="1" xfId="4" applyFont="1" applyFill="1" applyBorder="1" applyAlignment="1">
      <alignment vertical="center"/>
    </xf>
    <xf numFmtId="167" fontId="10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horizontal="left" vertical="center" wrapText="1"/>
    </xf>
    <xf numFmtId="167" fontId="10" fillId="7" borderId="1" xfId="0" applyNumberFormat="1" applyFont="1" applyFill="1" applyBorder="1" applyAlignment="1">
      <alignment horizontal="left" vertical="center"/>
    </xf>
    <xf numFmtId="171" fontId="9" fillId="8" borderId="1" xfId="1" applyNumberFormat="1" applyFont="1" applyFill="1" applyBorder="1" applyAlignment="1">
      <alignment vertical="center"/>
    </xf>
    <xf numFmtId="171" fontId="10" fillId="8" borderId="1" xfId="1" applyNumberFormat="1" applyFont="1" applyFill="1" applyBorder="1" applyAlignment="1">
      <alignment vertical="center"/>
    </xf>
    <xf numFmtId="167" fontId="8" fillId="8" borderId="1" xfId="0" applyNumberFormat="1" applyFont="1" applyFill="1" applyBorder="1" applyAlignment="1">
      <alignment vertical="center"/>
    </xf>
    <xf numFmtId="0" fontId="10" fillId="7" borderId="1" xfId="4" quotePrefix="1" applyFont="1" applyFill="1" applyBorder="1" applyAlignment="1">
      <alignment horizontal="left" vertical="center"/>
    </xf>
    <xf numFmtId="0" fontId="8" fillId="8" borderId="1" xfId="10" applyFont="1" applyFill="1" applyBorder="1" applyAlignment="1">
      <alignment horizontal="left" vertical="center"/>
    </xf>
    <xf numFmtId="0" fontId="8" fillId="8" borderId="1" xfId="10" applyFont="1" applyFill="1" applyBorder="1" applyAlignment="1">
      <alignment vertical="center" wrapText="1"/>
    </xf>
    <xf numFmtId="172" fontId="8" fillId="8" borderId="1" xfId="3" applyNumberFormat="1" applyFont="1" applyFill="1" applyBorder="1" applyAlignment="1">
      <alignment horizontal="left" vertical="center"/>
    </xf>
    <xf numFmtId="0" fontId="10" fillId="7" borderId="1" xfId="4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1" fontId="0" fillId="0" borderId="0" xfId="1" applyNumberFormat="1" applyFont="1" applyAlignment="1">
      <alignment vertical="center"/>
    </xf>
    <xf numFmtId="0" fontId="0" fillId="0" borderId="0" xfId="0" applyAlignment="1">
      <alignment horizontal="left" vertical="center"/>
    </xf>
    <xf numFmtId="172" fontId="7" fillId="2" borderId="0" xfId="3" applyNumberFormat="1" applyFont="1" applyFill="1" applyAlignment="1">
      <alignment vertical="center"/>
    </xf>
    <xf numFmtId="172" fontId="8" fillId="0" borderId="0" xfId="3" applyNumberFormat="1" applyFont="1" applyAlignment="1">
      <alignment horizontal="justify" vertical="center"/>
    </xf>
    <xf numFmtId="172" fontId="8" fillId="2" borderId="0" xfId="3" applyNumberFormat="1" applyFont="1" applyFill="1" applyAlignment="1">
      <alignment vertical="center"/>
    </xf>
    <xf numFmtId="172" fontId="8" fillId="0" borderId="0" xfId="3" applyNumberFormat="1" applyFont="1" applyAlignment="1">
      <alignment vertical="center"/>
    </xf>
    <xf numFmtId="172" fontId="7" fillId="0" borderId="0" xfId="3" applyNumberFormat="1" applyFont="1" applyAlignment="1">
      <alignment vertical="center"/>
    </xf>
    <xf numFmtId="172" fontId="26" fillId="0" borderId="0" xfId="3" applyNumberFormat="1" applyFont="1" applyAlignment="1">
      <alignment vertical="center"/>
    </xf>
    <xf numFmtId="172" fontId="26" fillId="0" borderId="0" xfId="3" applyNumberFormat="1" applyFont="1" applyAlignment="1">
      <alignment horizontal="right" vertical="center"/>
    </xf>
    <xf numFmtId="172" fontId="19" fillId="10" borderId="0" xfId="3" applyNumberFormat="1" applyFont="1" applyFill="1" applyAlignment="1">
      <alignment vertical="center"/>
    </xf>
    <xf numFmtId="172" fontId="7" fillId="11" borderId="7" xfId="3" applyNumberFormat="1" applyFont="1" applyFill="1" applyBorder="1" applyAlignment="1">
      <alignment horizontal="center" vertical="center" wrapText="1"/>
    </xf>
    <xf numFmtId="172" fontId="7" fillId="11" borderId="7" xfId="3" applyNumberFormat="1" applyFont="1" applyFill="1" applyBorder="1" applyAlignment="1">
      <alignment horizontal="justify" vertical="justify" wrapText="1"/>
    </xf>
    <xf numFmtId="172" fontId="8" fillId="2" borderId="0" xfId="3" applyNumberFormat="1" applyFont="1" applyFill="1" applyAlignment="1">
      <alignment horizontal="justify" vertical="justify"/>
    </xf>
    <xf numFmtId="172" fontId="7" fillId="11" borderId="7" xfId="3" applyNumberFormat="1" applyFont="1" applyFill="1" applyBorder="1" applyAlignment="1">
      <alignment vertical="center" wrapText="1"/>
    </xf>
    <xf numFmtId="172" fontId="7" fillId="11" borderId="8" xfId="3" applyNumberFormat="1" applyFont="1" applyFill="1" applyBorder="1" applyAlignment="1">
      <alignment horizontal="center" vertical="center" wrapText="1"/>
    </xf>
    <xf numFmtId="170" fontId="11" fillId="12" borderId="1" xfId="3" applyNumberFormat="1" applyFont="1" applyFill="1" applyBorder="1" applyAlignment="1">
      <alignment horizontal="center" vertical="center"/>
    </xf>
    <xf numFmtId="170" fontId="11" fillId="8" borderId="1" xfId="3" applyNumberFormat="1" applyFont="1" applyFill="1" applyBorder="1" applyAlignment="1">
      <alignment horizontal="center" vertical="center"/>
    </xf>
    <xf numFmtId="170" fontId="11" fillId="13" borderId="1" xfId="3" applyNumberFormat="1" applyFont="1" applyFill="1" applyBorder="1" applyAlignment="1">
      <alignment horizontal="center" vertical="center" wrapText="1"/>
    </xf>
    <xf numFmtId="172" fontId="23" fillId="2" borderId="1" xfId="3" applyNumberFormat="1" applyFont="1" applyFill="1" applyBorder="1" applyAlignment="1">
      <alignment horizontal="center" vertical="center"/>
    </xf>
    <xf numFmtId="172" fontId="11" fillId="2" borderId="1" xfId="3" applyNumberFormat="1" applyFont="1" applyFill="1" applyBorder="1" applyAlignment="1">
      <alignment horizontal="center" vertical="center"/>
    </xf>
    <xf numFmtId="172" fontId="11" fillId="2" borderId="1" xfId="3" applyNumberFormat="1" applyFont="1" applyFill="1" applyBorder="1" applyAlignment="1">
      <alignment horizontal="justify" vertical="center"/>
    </xf>
    <xf numFmtId="171" fontId="11" fillId="0" borderId="1" xfId="3" applyNumberFormat="1" applyFont="1" applyFill="1" applyBorder="1" applyAlignment="1" applyProtection="1">
      <alignment horizontal="right" vertical="center"/>
    </xf>
    <xf numFmtId="171" fontId="11" fillId="2" borderId="1" xfId="3" applyNumberFormat="1" applyFont="1" applyFill="1" applyBorder="1" applyAlignment="1" applyProtection="1">
      <alignment horizontal="right" vertical="center"/>
    </xf>
    <xf numFmtId="9" fontId="11" fillId="2" borderId="1" xfId="2" applyFont="1" applyFill="1" applyBorder="1" applyAlignment="1" applyProtection="1">
      <alignment horizontal="center" vertical="center"/>
    </xf>
    <xf numFmtId="172" fontId="11" fillId="2" borderId="0" xfId="3" applyNumberFormat="1" applyFont="1" applyFill="1" applyAlignment="1">
      <alignment vertical="center"/>
    </xf>
    <xf numFmtId="172" fontId="23" fillId="2" borderId="1" xfId="3" quotePrefix="1" applyNumberFormat="1" applyFont="1" applyFill="1" applyBorder="1" applyAlignment="1">
      <alignment horizontal="justify" vertical="center"/>
    </xf>
    <xf numFmtId="171" fontId="23" fillId="0" borderId="7" xfId="3" applyNumberFormat="1" applyFont="1" applyFill="1" applyBorder="1" applyAlignment="1" applyProtection="1">
      <alignment horizontal="right" vertical="center"/>
    </xf>
    <xf numFmtId="171" fontId="23" fillId="2" borderId="1" xfId="3" applyNumberFormat="1" applyFont="1" applyFill="1" applyBorder="1" applyAlignment="1" applyProtection="1">
      <alignment horizontal="right" vertical="center"/>
    </xf>
    <xf numFmtId="9" fontId="23" fillId="2" borderId="1" xfId="2" applyFont="1" applyFill="1" applyBorder="1" applyAlignment="1" applyProtection="1">
      <alignment horizontal="center" vertical="center"/>
    </xf>
    <xf numFmtId="172" fontId="23" fillId="2" borderId="0" xfId="3" applyNumberFormat="1" applyFont="1" applyFill="1" applyAlignment="1">
      <alignment vertical="center"/>
    </xf>
    <xf numFmtId="172" fontId="27" fillId="14" borderId="1" xfId="3" applyNumberFormat="1" applyFont="1" applyFill="1" applyBorder="1" applyAlignment="1">
      <alignment horizontal="center" vertical="center"/>
    </xf>
    <xf numFmtId="172" fontId="27" fillId="14" borderId="1" xfId="3" quotePrefix="1" applyNumberFormat="1" applyFont="1" applyFill="1" applyBorder="1" applyAlignment="1">
      <alignment horizontal="justify" vertical="center"/>
    </xf>
    <xf numFmtId="171" fontId="27" fillId="14" borderId="1" xfId="3" applyNumberFormat="1" applyFont="1" applyFill="1" applyBorder="1" applyAlignment="1" applyProtection="1">
      <alignment horizontal="right" vertical="center"/>
    </xf>
    <xf numFmtId="172" fontId="27" fillId="14" borderId="0" xfId="3" applyNumberFormat="1" applyFont="1" applyFill="1" applyAlignment="1">
      <alignment vertical="center"/>
    </xf>
    <xf numFmtId="171" fontId="23" fillId="0" borderId="1" xfId="3" applyNumberFormat="1" applyFont="1" applyFill="1" applyBorder="1" applyAlignment="1" applyProtection="1">
      <alignment horizontal="right" vertical="center"/>
    </xf>
    <xf numFmtId="172" fontId="23" fillId="15" borderId="1" xfId="3" applyNumberFormat="1" applyFont="1" applyFill="1" applyBorder="1" applyAlignment="1">
      <alignment horizontal="center" vertical="center"/>
    </xf>
    <xf numFmtId="172" fontId="27" fillId="15" borderId="1" xfId="3" quotePrefix="1" applyNumberFormat="1" applyFont="1" applyFill="1" applyBorder="1" applyAlignment="1">
      <alignment horizontal="justify" vertical="center"/>
    </xf>
    <xf numFmtId="171" fontId="23" fillId="15" borderId="1" xfId="3" applyNumberFormat="1" applyFont="1" applyFill="1" applyBorder="1" applyAlignment="1" applyProtection="1">
      <alignment horizontal="right" vertical="center"/>
    </xf>
    <xf numFmtId="172" fontId="23" fillId="15" borderId="0" xfId="3" applyNumberFormat="1" applyFont="1" applyFill="1" applyAlignment="1">
      <alignment vertical="center"/>
    </xf>
    <xf numFmtId="172" fontId="27" fillId="15" borderId="1" xfId="3" applyNumberFormat="1" applyFont="1" applyFill="1" applyBorder="1" applyAlignment="1">
      <alignment horizontal="center" vertical="center"/>
    </xf>
    <xf numFmtId="171" fontId="27" fillId="15" borderId="1" xfId="3" applyNumberFormat="1" applyFont="1" applyFill="1" applyBorder="1" applyAlignment="1" applyProtection="1">
      <alignment horizontal="right" vertical="center"/>
    </xf>
    <xf numFmtId="172" fontId="27" fillId="15" borderId="0" xfId="3" applyNumberFormat="1" applyFont="1" applyFill="1" applyAlignment="1">
      <alignment vertical="center"/>
    </xf>
    <xf numFmtId="171" fontId="27" fillId="14" borderId="1" xfId="1" applyNumberFormat="1" applyFont="1" applyFill="1" applyBorder="1" applyAlignment="1" applyProtection="1">
      <alignment horizontal="right" vertical="center"/>
    </xf>
    <xf numFmtId="171" fontId="27" fillId="2" borderId="1" xfId="3" applyNumberFormat="1" applyFont="1" applyFill="1" applyBorder="1" applyAlignment="1" applyProtection="1">
      <alignment horizontal="right" vertical="center"/>
    </xf>
    <xf numFmtId="171" fontId="11" fillId="2" borderId="1" xfId="3" applyNumberFormat="1" applyFont="1" applyFill="1" applyBorder="1" applyAlignment="1">
      <alignment horizontal="right" vertical="center"/>
    </xf>
    <xf numFmtId="171" fontId="23" fillId="2" borderId="1" xfId="3" applyNumberFormat="1" applyFont="1" applyFill="1" applyBorder="1" applyAlignment="1">
      <alignment horizontal="right" vertical="center"/>
    </xf>
    <xf numFmtId="172" fontId="23" fillId="2" borderId="2" xfId="3" applyNumberFormat="1" applyFont="1" applyFill="1" applyBorder="1" applyAlignment="1">
      <alignment horizontal="center" vertical="center"/>
    </xf>
    <xf numFmtId="171" fontId="23" fillId="2" borderId="4" xfId="3" applyNumberFormat="1" applyFont="1" applyFill="1" applyBorder="1" applyAlignment="1">
      <alignment horizontal="right" vertical="center"/>
    </xf>
    <xf numFmtId="171" fontId="23" fillId="2" borderId="4" xfId="3" applyNumberFormat="1" applyFont="1" applyFill="1" applyBorder="1" applyAlignment="1" applyProtection="1">
      <alignment horizontal="right" vertical="center"/>
    </xf>
    <xf numFmtId="172" fontId="27" fillId="16" borderId="0" xfId="3" applyNumberFormat="1" applyFont="1" applyFill="1" applyBorder="1" applyAlignment="1">
      <alignment horizontal="center" vertical="center"/>
    </xf>
    <xf numFmtId="0" fontId="27" fillId="16" borderId="1" xfId="4" quotePrefix="1" applyFont="1" applyFill="1" applyBorder="1" applyAlignment="1">
      <alignment horizontal="justify" vertical="center"/>
    </xf>
    <xf numFmtId="171" fontId="27" fillId="16" borderId="1" xfId="3" applyNumberFormat="1" applyFont="1" applyFill="1" applyBorder="1" applyAlignment="1" applyProtection="1">
      <alignment horizontal="right" vertical="center"/>
    </xf>
    <xf numFmtId="171" fontId="27" fillId="16" borderId="1" xfId="3" applyNumberFormat="1" applyFont="1" applyFill="1" applyBorder="1" applyAlignment="1">
      <alignment horizontal="right" vertical="center"/>
    </xf>
    <xf numFmtId="171" fontId="27" fillId="16" borderId="4" xfId="3" applyNumberFormat="1" applyFont="1" applyFill="1" applyBorder="1" applyAlignment="1">
      <alignment horizontal="right" vertical="center"/>
    </xf>
    <xf numFmtId="172" fontId="27" fillId="16" borderId="0" xfId="3" applyNumberFormat="1" applyFont="1" applyFill="1" applyAlignment="1">
      <alignment vertical="center"/>
    </xf>
    <xf numFmtId="172" fontId="27" fillId="16" borderId="2" xfId="3" applyNumberFormat="1" applyFont="1" applyFill="1" applyBorder="1" applyAlignment="1">
      <alignment horizontal="center" vertical="center"/>
    </xf>
    <xf numFmtId="172" fontId="27" fillId="16" borderId="1" xfId="3" quotePrefix="1" applyNumberFormat="1" applyFont="1" applyFill="1" applyBorder="1" applyAlignment="1">
      <alignment horizontal="justify" vertical="center"/>
    </xf>
    <xf numFmtId="171" fontId="27" fillId="16" borderId="4" xfId="3" applyNumberFormat="1" applyFont="1" applyFill="1" applyBorder="1" applyAlignment="1" applyProtection="1">
      <alignment horizontal="right" vertical="center"/>
    </xf>
    <xf numFmtId="171" fontId="23" fillId="0" borderId="0" xfId="1" quotePrefix="1" applyNumberFormat="1" applyFont="1" applyAlignment="1">
      <alignment horizontal="justify" vertical="center"/>
    </xf>
    <xf numFmtId="171" fontId="23" fillId="0" borderId="1" xfId="1" quotePrefix="1" applyNumberFormat="1" applyFont="1" applyBorder="1" applyAlignment="1">
      <alignment horizontal="justify" vertical="center"/>
    </xf>
    <xf numFmtId="171" fontId="23" fillId="2" borderId="1" xfId="1" quotePrefix="1" applyNumberFormat="1" applyFont="1" applyFill="1" applyBorder="1" applyAlignment="1">
      <alignment horizontal="justify" vertical="center"/>
    </xf>
    <xf numFmtId="172" fontId="27" fillId="2" borderId="1" xfId="3" applyNumberFormat="1" applyFont="1" applyFill="1" applyBorder="1" applyAlignment="1">
      <alignment horizontal="center" vertical="center"/>
    </xf>
    <xf numFmtId="172" fontId="27" fillId="2" borderId="1" xfId="3" quotePrefix="1" applyNumberFormat="1" applyFont="1" applyFill="1" applyBorder="1" applyAlignment="1">
      <alignment horizontal="justify" vertical="center"/>
    </xf>
    <xf numFmtId="171" fontId="27" fillId="2" borderId="1" xfId="3" applyNumberFormat="1" applyFont="1" applyFill="1" applyBorder="1" applyAlignment="1">
      <alignment horizontal="right" vertical="center"/>
    </xf>
    <xf numFmtId="171" fontId="27" fillId="2" borderId="1" xfId="1" applyNumberFormat="1" applyFont="1" applyFill="1" applyBorder="1" applyAlignment="1">
      <alignment horizontal="right" vertical="center"/>
    </xf>
    <xf numFmtId="171" fontId="27" fillId="0" borderId="1" xfId="3" applyNumberFormat="1" applyFont="1" applyFill="1" applyBorder="1" applyAlignment="1" applyProtection="1">
      <alignment horizontal="right" vertical="center"/>
    </xf>
    <xf numFmtId="172" fontId="27" fillId="2" borderId="0" xfId="3" applyNumberFormat="1" applyFont="1" applyFill="1" applyAlignment="1">
      <alignment vertical="center"/>
    </xf>
    <xf numFmtId="171" fontId="23" fillId="0" borderId="1" xfId="3" applyNumberFormat="1" applyFont="1" applyFill="1" applyBorder="1" applyAlignment="1">
      <alignment horizontal="right" vertical="center"/>
    </xf>
    <xf numFmtId="171" fontId="11" fillId="2" borderId="1" xfId="1" applyNumberFormat="1" applyFont="1" applyFill="1" applyBorder="1" applyAlignment="1">
      <alignment horizontal="right" vertical="center"/>
    </xf>
    <xf numFmtId="172" fontId="11" fillId="2" borderId="1" xfId="3" applyNumberFormat="1" applyFont="1" applyFill="1" applyBorder="1" applyAlignment="1">
      <alignment horizontal="justify" vertical="center" wrapText="1"/>
    </xf>
    <xf numFmtId="171" fontId="11" fillId="13" borderId="1" xfId="3" applyNumberFormat="1" applyFont="1" applyFill="1" applyBorder="1" applyAlignment="1">
      <alignment horizontal="right" vertical="center"/>
    </xf>
    <xf numFmtId="172" fontId="7" fillId="0" borderId="0" xfId="3" applyNumberFormat="1" applyFont="1" applyAlignment="1">
      <alignment horizontal="justify" vertical="center"/>
    </xf>
    <xf numFmtId="170" fontId="8" fillId="2" borderId="0" xfId="3" applyNumberFormat="1" applyFont="1" applyFill="1" applyBorder="1" applyAlignment="1">
      <alignment vertical="center"/>
    </xf>
    <xf numFmtId="172" fontId="8" fillId="2" borderId="0" xfId="3" applyNumberFormat="1" applyFont="1" applyFill="1" applyBorder="1" applyAlignment="1">
      <alignment vertical="center"/>
    </xf>
    <xf numFmtId="171" fontId="11" fillId="2" borderId="0" xfId="3" applyNumberFormat="1" applyFont="1" applyFill="1" applyBorder="1" applyAlignment="1" applyProtection="1">
      <alignment horizontal="right" vertical="center"/>
    </xf>
    <xf numFmtId="170" fontId="8" fillId="2" borderId="0" xfId="3" applyNumberFormat="1" applyFont="1" applyFill="1" applyAlignment="1">
      <alignment vertical="center"/>
    </xf>
    <xf numFmtId="171" fontId="0" fillId="0" borderId="0" xfId="1" applyNumberFormat="1" applyFont="1"/>
    <xf numFmtId="0" fontId="0" fillId="0" borderId="0" xfId="0" applyAlignment="1">
      <alignment vertical="center" wrapText="1"/>
    </xf>
    <xf numFmtId="172" fontId="17" fillId="2" borderId="1" xfId="3" quotePrefix="1" applyNumberFormat="1" applyFont="1" applyFill="1" applyBorder="1" applyAlignment="1">
      <alignment horizontal="justify" vertical="center"/>
    </xf>
    <xf numFmtId="0" fontId="18" fillId="10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/>
    <xf numFmtId="172" fontId="23" fillId="10" borderId="1" xfId="3" applyNumberFormat="1" applyFont="1" applyFill="1" applyBorder="1" applyAlignment="1">
      <alignment horizontal="center" vertical="center"/>
    </xf>
    <xf numFmtId="172" fontId="11" fillId="10" borderId="1" xfId="3" applyNumberFormat="1" applyFont="1" applyFill="1" applyBorder="1" applyAlignment="1">
      <alignment horizontal="center" vertical="center"/>
    </xf>
    <xf numFmtId="172" fontId="11" fillId="10" borderId="1" xfId="3" applyNumberFormat="1" applyFont="1" applyFill="1" applyBorder="1" applyAlignment="1">
      <alignment horizontal="justify" vertical="center"/>
    </xf>
    <xf numFmtId="172" fontId="11" fillId="10" borderId="0" xfId="3" applyNumberFormat="1" applyFont="1" applyFill="1" applyAlignment="1">
      <alignment vertical="center"/>
    </xf>
    <xf numFmtId="171" fontId="7" fillId="4" borderId="1" xfId="3" applyNumberFormat="1" applyFont="1" applyFill="1" applyBorder="1" applyAlignment="1">
      <alignment horizontal="right" vertical="center"/>
    </xf>
    <xf numFmtId="171" fontId="8" fillId="4" borderId="1" xfId="3" applyNumberFormat="1" applyFont="1" applyFill="1" applyBorder="1" applyAlignment="1">
      <alignment horizontal="right" vertical="center"/>
    </xf>
    <xf numFmtId="167" fontId="8" fillId="4" borderId="1" xfId="0" applyNumberFormat="1" applyFont="1" applyFill="1" applyBorder="1" applyAlignment="1">
      <alignment vertical="center"/>
    </xf>
    <xf numFmtId="0" fontId="8" fillId="4" borderId="1" xfId="0" applyFont="1" applyFill="1" applyBorder="1" applyAlignment="1">
      <alignment horizontal="left" vertical="center" wrapText="1"/>
    </xf>
    <xf numFmtId="167" fontId="8" fillId="4" borderId="1" xfId="0" applyNumberFormat="1" applyFont="1" applyFill="1" applyBorder="1" applyAlignment="1">
      <alignment horizontal="left" vertical="center"/>
    </xf>
    <xf numFmtId="171" fontId="0" fillId="0" borderId="0" xfId="1" applyNumberFormat="1" applyFont="1" applyFill="1"/>
    <xf numFmtId="171" fontId="0" fillId="0" borderId="1" xfId="1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1" fontId="28" fillId="14" borderId="1" xfId="3" applyNumberFormat="1" applyFont="1" applyFill="1" applyBorder="1" applyAlignment="1" applyProtection="1">
      <alignment horizontal="right" vertical="center"/>
    </xf>
    <xf numFmtId="171" fontId="17" fillId="2" borderId="1" xfId="3" applyNumberFormat="1" applyFont="1" applyFill="1" applyBorder="1" applyAlignment="1">
      <alignment horizontal="right" vertical="center"/>
    </xf>
    <xf numFmtId="171" fontId="17" fillId="15" borderId="1" xfId="3" applyNumberFormat="1" applyFont="1" applyFill="1" applyBorder="1" applyAlignment="1" applyProtection="1">
      <alignment horizontal="right" vertical="center"/>
    </xf>
    <xf numFmtId="171" fontId="19" fillId="2" borderId="1" xfId="1" applyNumberFormat="1" applyFont="1" applyFill="1" applyBorder="1" applyAlignment="1">
      <alignment horizontal="right" vertical="center"/>
    </xf>
    <xf numFmtId="171" fontId="18" fillId="2" borderId="1" xfId="3" applyNumberFormat="1" applyFont="1" applyFill="1" applyBorder="1" applyAlignment="1">
      <alignment horizontal="right" vertical="center"/>
    </xf>
    <xf numFmtId="171" fontId="8" fillId="7" borderId="1" xfId="3" applyNumberFormat="1" applyFont="1" applyFill="1" applyBorder="1" applyAlignment="1">
      <alignment horizontal="right" vertical="center"/>
    </xf>
    <xf numFmtId="171" fontId="19" fillId="10" borderId="1" xfId="3" applyNumberFormat="1" applyFont="1" applyFill="1" applyBorder="1" applyAlignment="1">
      <alignment horizontal="right" vertical="center"/>
    </xf>
    <xf numFmtId="171" fontId="19" fillId="8" borderId="1" xfId="1" applyNumberFormat="1" applyFont="1" applyFill="1" applyBorder="1" applyAlignment="1">
      <alignment horizontal="right" vertical="center"/>
    </xf>
    <xf numFmtId="170" fontId="7" fillId="17" borderId="1" xfId="3" applyNumberFormat="1" applyFont="1" applyFill="1" applyBorder="1" applyAlignment="1">
      <alignment horizontal="left" vertical="center" wrapText="1"/>
    </xf>
    <xf numFmtId="170" fontId="7" fillId="17" borderId="1" xfId="3" applyNumberFormat="1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left" vertical="center" wrapText="1"/>
    </xf>
    <xf numFmtId="170" fontId="7" fillId="18" borderId="1" xfId="3" applyNumberFormat="1" applyFont="1" applyFill="1" applyBorder="1" applyAlignment="1">
      <alignment horizontal="left" vertical="center" wrapText="1"/>
    </xf>
    <xf numFmtId="170" fontId="7" fillId="18" borderId="1" xfId="3" applyNumberFormat="1" applyFont="1" applyFill="1" applyBorder="1" applyAlignment="1">
      <alignment horizontal="center" vertical="center"/>
    </xf>
    <xf numFmtId="171" fontId="7" fillId="18" borderId="1" xfId="1" applyNumberFormat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left" vertical="center" wrapText="1"/>
    </xf>
    <xf numFmtId="9" fontId="11" fillId="2" borderId="0" xfId="2" applyFont="1" applyFill="1" applyBorder="1" applyAlignment="1" applyProtection="1">
      <alignment horizontal="right" vertical="center"/>
    </xf>
    <xf numFmtId="170" fontId="19" fillId="10" borderId="1" xfId="9" applyNumberFormat="1" applyFont="1" applyFill="1" applyBorder="1" applyAlignment="1">
      <alignment vertical="center" wrapText="1"/>
    </xf>
    <xf numFmtId="171" fontId="7" fillId="3" borderId="1" xfId="3" applyNumberFormat="1" applyFont="1" applyFill="1" applyBorder="1" applyAlignment="1">
      <alignment horizontal="right" vertical="center"/>
    </xf>
    <xf numFmtId="0" fontId="8" fillId="10" borderId="1" xfId="7" applyFont="1" applyFill="1" applyBorder="1" applyAlignment="1">
      <alignment vertical="center" wrapText="1"/>
    </xf>
    <xf numFmtId="0" fontId="19" fillId="10" borderId="1" xfId="4" quotePrefix="1" applyFont="1" applyFill="1" applyBorder="1" applyAlignment="1">
      <alignment vertical="center"/>
    </xf>
    <xf numFmtId="171" fontId="3" fillId="2" borderId="1" xfId="1" applyNumberFormat="1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171" fontId="11" fillId="2" borderId="0" xfId="1" applyNumberFormat="1" applyFont="1" applyFill="1" applyAlignment="1">
      <alignment vertical="center"/>
    </xf>
    <xf numFmtId="171" fontId="23" fillId="2" borderId="0" xfId="1" applyNumberFormat="1" applyFont="1" applyFill="1" applyAlignment="1">
      <alignment vertical="center"/>
    </xf>
    <xf numFmtId="171" fontId="27" fillId="14" borderId="0" xfId="1" applyNumberFormat="1" applyFont="1" applyFill="1" applyAlignment="1">
      <alignment vertical="center"/>
    </xf>
    <xf numFmtId="171" fontId="27" fillId="16" borderId="0" xfId="1" applyNumberFormat="1" applyFont="1" applyFill="1" applyAlignment="1">
      <alignment vertical="center"/>
    </xf>
    <xf numFmtId="171" fontId="27" fillId="2" borderId="0" xfId="1" applyNumberFormat="1" applyFont="1" applyFill="1" applyAlignment="1">
      <alignment vertical="center"/>
    </xf>
    <xf numFmtId="171" fontId="11" fillId="10" borderId="0" xfId="1" applyNumberFormat="1" applyFont="1" applyFill="1" applyAlignment="1">
      <alignment vertical="center"/>
    </xf>
    <xf numFmtId="171" fontId="7" fillId="7" borderId="1" xfId="4" applyNumberFormat="1" applyFont="1" applyFill="1" applyBorder="1" applyAlignment="1">
      <alignment horizontal="left" vertical="center" wrapText="1"/>
    </xf>
    <xf numFmtId="170" fontId="11" fillId="19" borderId="1" xfId="3" applyNumberFormat="1" applyFont="1" applyFill="1" applyBorder="1" applyAlignment="1">
      <alignment horizontal="center" vertical="center" wrapText="1"/>
    </xf>
    <xf numFmtId="172" fontId="28" fillId="13" borderId="1" xfId="3" quotePrefix="1" applyNumberFormat="1" applyFont="1" applyFill="1" applyBorder="1" applyAlignment="1">
      <alignment horizontal="justify" vertical="center"/>
    </xf>
    <xf numFmtId="174" fontId="8" fillId="0" borderId="0" xfId="2" applyNumberFormat="1" applyFont="1" applyAlignment="1">
      <alignment vertical="center"/>
    </xf>
    <xf numFmtId="169" fontId="23" fillId="2" borderId="1" xfId="1" applyFont="1" applyFill="1" applyBorder="1" applyAlignment="1" applyProtection="1">
      <alignment horizontal="right" vertical="center"/>
    </xf>
    <xf numFmtId="169" fontId="27" fillId="14" borderId="1" xfId="1" applyFont="1" applyFill="1" applyBorder="1" applyAlignment="1" applyProtection="1">
      <alignment horizontal="right" vertical="center"/>
    </xf>
    <xf numFmtId="169" fontId="23" fillId="15" borderId="1" xfId="1" applyFont="1" applyFill="1" applyBorder="1" applyAlignment="1" applyProtection="1">
      <alignment horizontal="right" vertical="center"/>
    </xf>
    <xf numFmtId="169" fontId="27" fillId="15" borderId="1" xfId="1" applyFont="1" applyFill="1" applyBorder="1" applyAlignment="1" applyProtection="1">
      <alignment horizontal="right" vertical="center"/>
    </xf>
    <xf numFmtId="169" fontId="23" fillId="0" borderId="1" xfId="1" applyFont="1" applyFill="1" applyBorder="1" applyAlignment="1" applyProtection="1">
      <alignment horizontal="right" vertical="center"/>
    </xf>
    <xf numFmtId="169" fontId="27" fillId="2" borderId="1" xfId="1" applyFont="1" applyFill="1" applyBorder="1" applyAlignment="1" applyProtection="1">
      <alignment horizontal="right" vertical="center"/>
    </xf>
    <xf numFmtId="171" fontId="27" fillId="15" borderId="1" xfId="1" applyNumberFormat="1" applyFont="1" applyFill="1" applyBorder="1" applyAlignment="1">
      <alignment vertical="center"/>
    </xf>
    <xf numFmtId="169" fontId="27" fillId="15" borderId="1" xfId="1" applyFont="1" applyFill="1" applyBorder="1" applyAlignment="1">
      <alignment vertical="center"/>
    </xf>
    <xf numFmtId="172" fontId="27" fillId="15" borderId="1" xfId="3" applyNumberFormat="1" applyFont="1" applyFill="1" applyBorder="1" applyAlignment="1">
      <alignment vertical="center"/>
    </xf>
    <xf numFmtId="171" fontId="23" fillId="2" borderId="1" xfId="1" applyNumberFormat="1" applyFont="1" applyFill="1" applyBorder="1" applyAlignment="1">
      <alignment vertical="center"/>
    </xf>
    <xf numFmtId="169" fontId="23" fillId="2" borderId="1" xfId="1" applyFont="1" applyFill="1" applyBorder="1" applyAlignment="1">
      <alignment vertical="center"/>
    </xf>
    <xf numFmtId="172" fontId="23" fillId="2" borderId="1" xfId="3" applyNumberFormat="1" applyFont="1" applyFill="1" applyBorder="1" applyAlignment="1">
      <alignment vertical="center"/>
    </xf>
    <xf numFmtId="171" fontId="11" fillId="2" borderId="1" xfId="1" applyNumberFormat="1" applyFont="1" applyFill="1" applyBorder="1" applyAlignment="1">
      <alignment vertical="center"/>
    </xf>
    <xf numFmtId="169" fontId="11" fillId="2" borderId="1" xfId="1" applyFont="1" applyFill="1" applyBorder="1" applyAlignment="1">
      <alignment vertical="center"/>
    </xf>
    <xf numFmtId="172" fontId="11" fillId="2" borderId="1" xfId="3" applyNumberFormat="1" applyFont="1" applyFill="1" applyBorder="1" applyAlignment="1">
      <alignment vertical="center"/>
    </xf>
    <xf numFmtId="171" fontId="27" fillId="16" borderId="1" xfId="1" applyNumberFormat="1" applyFont="1" applyFill="1" applyBorder="1" applyAlignment="1">
      <alignment vertical="center"/>
    </xf>
    <xf numFmtId="169" fontId="27" fillId="16" borderId="1" xfId="1" applyFont="1" applyFill="1" applyBorder="1" applyAlignment="1">
      <alignment vertical="center"/>
    </xf>
    <xf numFmtId="172" fontId="27" fillId="16" borderId="1" xfId="3" applyNumberFormat="1" applyFont="1" applyFill="1" applyBorder="1" applyAlignment="1">
      <alignment vertical="center"/>
    </xf>
    <xf numFmtId="169" fontId="23" fillId="0" borderId="1" xfId="1" quotePrefix="1" applyFont="1" applyBorder="1" applyAlignment="1">
      <alignment horizontal="justify" vertical="center"/>
    </xf>
    <xf numFmtId="171" fontId="27" fillId="14" borderId="1" xfId="1" applyNumberFormat="1" applyFont="1" applyFill="1" applyBorder="1" applyAlignment="1">
      <alignment vertical="center"/>
    </xf>
    <xf numFmtId="169" fontId="27" fillId="14" borderId="1" xfId="1" applyFont="1" applyFill="1" applyBorder="1" applyAlignment="1">
      <alignment vertical="center"/>
    </xf>
    <xf numFmtId="172" fontId="27" fillId="14" borderId="1" xfId="3" applyNumberFormat="1" applyFont="1" applyFill="1" applyBorder="1" applyAlignment="1">
      <alignment vertical="center"/>
    </xf>
    <xf numFmtId="171" fontId="27" fillId="2" borderId="1" xfId="1" applyNumberFormat="1" applyFont="1" applyFill="1" applyBorder="1" applyAlignment="1">
      <alignment vertical="center"/>
    </xf>
    <xf numFmtId="169" fontId="27" fillId="2" borderId="1" xfId="1" applyFont="1" applyFill="1" applyBorder="1" applyAlignment="1">
      <alignment vertical="center"/>
    </xf>
    <xf numFmtId="172" fontId="27" fillId="2" borderId="1" xfId="3" applyNumberFormat="1" applyFont="1" applyFill="1" applyBorder="1" applyAlignment="1">
      <alignment vertical="center"/>
    </xf>
    <xf numFmtId="171" fontId="11" fillId="10" borderId="1" xfId="1" applyNumberFormat="1" applyFont="1" applyFill="1" applyBorder="1" applyAlignment="1">
      <alignment vertical="center"/>
    </xf>
    <xf numFmtId="169" fontId="11" fillId="10" borderId="1" xfId="1" applyFont="1" applyFill="1" applyBorder="1" applyAlignment="1">
      <alignment vertical="center"/>
    </xf>
    <xf numFmtId="172" fontId="11" fillId="10" borderId="1" xfId="3" applyNumberFormat="1" applyFont="1" applyFill="1" applyBorder="1" applyAlignment="1">
      <alignment vertical="center"/>
    </xf>
    <xf numFmtId="170" fontId="11" fillId="4" borderId="1" xfId="3" applyNumberFormat="1" applyFont="1" applyFill="1" applyBorder="1" applyAlignment="1">
      <alignment horizontal="center" vertical="center" wrapText="1"/>
    </xf>
    <xf numFmtId="170" fontId="7" fillId="10" borderId="1" xfId="3" applyNumberFormat="1" applyFont="1" applyFill="1" applyBorder="1" applyAlignment="1">
      <alignment horizontal="center" vertical="center"/>
    </xf>
    <xf numFmtId="171" fontId="7" fillId="10" borderId="1" xfId="1" applyNumberFormat="1" applyFont="1" applyFill="1" applyBorder="1" applyAlignment="1">
      <alignment horizontal="center" vertical="center"/>
    </xf>
    <xf numFmtId="9" fontId="11" fillId="2" borderId="0" xfId="2" applyFont="1" applyFill="1" applyAlignment="1">
      <alignment vertical="center"/>
    </xf>
    <xf numFmtId="9" fontId="0" fillId="0" borderId="0" xfId="2" applyFont="1"/>
    <xf numFmtId="174" fontId="11" fillId="2" borderId="0" xfId="2" applyNumberFormat="1" applyFont="1" applyFill="1" applyAlignment="1">
      <alignment vertical="center"/>
    </xf>
    <xf numFmtId="10" fontId="8" fillId="0" borderId="0" xfId="2" applyNumberFormat="1" applyFont="1" applyAlignment="1">
      <alignment vertical="center"/>
    </xf>
    <xf numFmtId="0" fontId="0" fillId="0" borderId="0" xfId="0" applyAlignment="1">
      <alignment horizontal="justify" vertical="center"/>
    </xf>
    <xf numFmtId="0" fontId="0" fillId="4" borderId="0" xfId="0" applyFill="1"/>
    <xf numFmtId="169" fontId="11" fillId="2" borderId="1" xfId="1" applyFont="1" applyFill="1" applyBorder="1" applyAlignment="1" applyProtection="1">
      <alignment horizontal="right" vertical="center"/>
    </xf>
    <xf numFmtId="169" fontId="11" fillId="2" borderId="1" xfId="1" applyFont="1" applyFill="1" applyBorder="1" applyAlignment="1">
      <alignment horizontal="right" vertical="center"/>
    </xf>
    <xf numFmtId="169" fontId="23" fillId="2" borderId="1" xfId="1" applyFont="1" applyFill="1" applyBorder="1" applyAlignment="1">
      <alignment horizontal="right" vertical="center"/>
    </xf>
    <xf numFmtId="169" fontId="27" fillId="16" borderId="1" xfId="1" applyFont="1" applyFill="1" applyBorder="1" applyAlignment="1">
      <alignment horizontal="right" vertical="center"/>
    </xf>
    <xf numFmtId="169" fontId="27" fillId="16" borderId="1" xfId="1" applyFont="1" applyFill="1" applyBorder="1" applyAlignment="1" applyProtection="1">
      <alignment horizontal="right" vertical="center"/>
    </xf>
    <xf numFmtId="169" fontId="23" fillId="0" borderId="0" xfId="1" quotePrefix="1" applyFont="1" applyAlignment="1">
      <alignment horizontal="justify" vertical="center"/>
    </xf>
    <xf numFmtId="169" fontId="11" fillId="0" borderId="1" xfId="1" applyFont="1" applyFill="1" applyBorder="1" applyAlignment="1" applyProtection="1">
      <alignment horizontal="right" vertical="center"/>
    </xf>
    <xf numFmtId="169" fontId="27" fillId="2" borderId="1" xfId="1" applyFont="1" applyFill="1" applyBorder="1" applyAlignment="1">
      <alignment horizontal="right" vertical="center"/>
    </xf>
    <xf numFmtId="169" fontId="34" fillId="2" borderId="1" xfId="1" applyFont="1" applyFill="1" applyBorder="1" applyAlignment="1">
      <alignment horizontal="right" vertical="center"/>
    </xf>
    <xf numFmtId="169" fontId="23" fillId="0" borderId="1" xfId="1" applyFont="1" applyFill="1" applyBorder="1" applyAlignment="1">
      <alignment horizontal="right" vertical="center"/>
    </xf>
    <xf numFmtId="169" fontId="11" fillId="13" borderId="1" xfId="1" applyFont="1" applyFill="1" applyBorder="1" applyAlignment="1">
      <alignment horizontal="right" vertical="center"/>
    </xf>
    <xf numFmtId="171" fontId="11" fillId="13" borderId="1" xfId="1" applyNumberFormat="1" applyFont="1" applyFill="1" applyBorder="1" applyAlignment="1">
      <alignment horizontal="right" vertical="center"/>
    </xf>
    <xf numFmtId="248" fontId="8" fillId="2" borderId="0" xfId="1" applyNumberFormat="1" applyFont="1" applyFill="1" applyBorder="1" applyAlignment="1">
      <alignment vertical="center"/>
    </xf>
    <xf numFmtId="248" fontId="8" fillId="0" borderId="0" xfId="1" applyNumberFormat="1" applyFont="1" applyAlignment="1">
      <alignment vertical="center"/>
    </xf>
    <xf numFmtId="171" fontId="8" fillId="0" borderId="0" xfId="1" applyNumberFormat="1" applyFont="1" applyAlignment="1">
      <alignment vertical="center"/>
    </xf>
    <xf numFmtId="171" fontId="23" fillId="13" borderId="1" xfId="1" applyNumberFormat="1" applyFont="1" applyFill="1" applyBorder="1" applyAlignment="1" applyProtection="1">
      <alignment horizontal="right" vertical="center"/>
    </xf>
    <xf numFmtId="171" fontId="27" fillId="13" borderId="1" xfId="1" applyNumberFormat="1" applyFont="1" applyFill="1" applyBorder="1" applyAlignment="1">
      <alignment vertical="center"/>
    </xf>
    <xf numFmtId="171" fontId="23" fillId="13" borderId="1" xfId="1" applyNumberFormat="1" applyFont="1" applyFill="1" applyBorder="1" applyAlignment="1">
      <alignment vertical="center"/>
    </xf>
    <xf numFmtId="171" fontId="23" fillId="13" borderId="1" xfId="1" quotePrefix="1" applyNumberFormat="1" applyFont="1" applyFill="1" applyBorder="1" applyAlignment="1">
      <alignment horizontal="justify" vertical="center"/>
    </xf>
    <xf numFmtId="171" fontId="27" fillId="13" borderId="1" xfId="1" applyNumberFormat="1" applyFont="1" applyFill="1" applyBorder="1" applyAlignment="1" applyProtection="1">
      <alignment horizontal="right" vertical="center"/>
    </xf>
    <xf numFmtId="171" fontId="23" fillId="13" borderId="1" xfId="1" applyNumberFormat="1" applyFont="1" applyFill="1" applyBorder="1" applyAlignment="1">
      <alignment horizontal="right" vertical="center"/>
    </xf>
    <xf numFmtId="171" fontId="27" fillId="13" borderId="1" xfId="1" applyNumberFormat="1" applyFont="1" applyFill="1" applyBorder="1" applyAlignment="1">
      <alignment horizontal="right" vertical="center"/>
    </xf>
    <xf numFmtId="171" fontId="23" fillId="13" borderId="0" xfId="1" quotePrefix="1" applyNumberFormat="1" applyFont="1" applyFill="1" applyAlignment="1">
      <alignment horizontal="justify" vertical="center"/>
    </xf>
    <xf numFmtId="171" fontId="1" fillId="4" borderId="1" xfId="1" applyNumberFormat="1" applyFont="1" applyFill="1" applyBorder="1"/>
    <xf numFmtId="171" fontId="1" fillId="13" borderId="1" xfId="1" applyNumberFormat="1" applyFont="1" applyFill="1" applyBorder="1"/>
    <xf numFmtId="171" fontId="111" fillId="13" borderId="1" xfId="1" applyNumberFormat="1" applyFont="1" applyFill="1" applyBorder="1"/>
    <xf numFmtId="171" fontId="1" fillId="13" borderId="0" xfId="1" applyNumberFormat="1" applyFont="1" applyFill="1"/>
    <xf numFmtId="171" fontId="1" fillId="4" borderId="0" xfId="1" applyNumberFormat="1" applyFont="1" applyFill="1"/>
    <xf numFmtId="171" fontId="32" fillId="13" borderId="1" xfId="3" applyNumberFormat="1" applyFont="1" applyFill="1" applyBorder="1" applyAlignment="1" applyProtection="1">
      <alignment horizontal="right" vertical="center"/>
    </xf>
    <xf numFmtId="171" fontId="112" fillId="13" borderId="1" xfId="3" applyNumberFormat="1" applyFont="1" applyFill="1" applyBorder="1" applyAlignment="1" applyProtection="1">
      <alignment horizontal="right" vertical="center"/>
    </xf>
    <xf numFmtId="171" fontId="32" fillId="13" borderId="1" xfId="3" applyNumberFormat="1" applyFont="1" applyFill="1" applyBorder="1" applyAlignment="1">
      <alignment horizontal="right" vertical="center"/>
    </xf>
    <xf numFmtId="171" fontId="112" fillId="13" borderId="1" xfId="3" applyNumberFormat="1" applyFont="1" applyFill="1" applyBorder="1" applyAlignment="1">
      <alignment horizontal="right" vertical="center"/>
    </xf>
    <xf numFmtId="171" fontId="32" fillId="13" borderId="0" xfId="1" quotePrefix="1" applyNumberFormat="1" applyFont="1" applyFill="1" applyAlignment="1">
      <alignment horizontal="justify" vertical="center"/>
    </xf>
    <xf numFmtId="170" fontId="11" fillId="4" borderId="1" xfId="3" applyNumberFormat="1" applyFont="1" applyFill="1" applyBorder="1" applyAlignment="1">
      <alignment horizontal="center" vertical="center" wrapText="1"/>
    </xf>
    <xf numFmtId="170" fontId="11" fillId="19" borderId="1" xfId="3" applyNumberFormat="1" applyFont="1" applyFill="1" applyBorder="1" applyAlignment="1">
      <alignment horizontal="center" vertical="center" wrapText="1"/>
    </xf>
    <xf numFmtId="172" fontId="7" fillId="11" borderId="7" xfId="3" applyNumberFormat="1" applyFont="1" applyFill="1" applyBorder="1" applyAlignment="1">
      <alignment horizontal="justify" vertical="center"/>
    </xf>
    <xf numFmtId="172" fontId="7" fillId="11" borderId="8" xfId="3" applyNumberFormat="1" applyFont="1" applyFill="1" applyBorder="1" applyAlignment="1">
      <alignment horizontal="justify" vertical="center"/>
    </xf>
    <xf numFmtId="170" fontId="11" fillId="12" borderId="2" xfId="3" applyNumberFormat="1" applyFont="1" applyFill="1" applyBorder="1" applyAlignment="1">
      <alignment horizontal="center" vertical="center"/>
    </xf>
    <xf numFmtId="170" fontId="11" fillId="12" borderId="3" xfId="3" applyNumberFormat="1" applyFont="1" applyFill="1" applyBorder="1" applyAlignment="1">
      <alignment horizontal="center" vertical="center"/>
    </xf>
    <xf numFmtId="170" fontId="11" fillId="12" borderId="4" xfId="3" applyNumberFormat="1" applyFont="1" applyFill="1" applyBorder="1" applyAlignment="1">
      <alignment horizontal="center" vertical="center"/>
    </xf>
    <xf numFmtId="170" fontId="11" fillId="8" borderId="2" xfId="3" applyNumberFormat="1" applyFont="1" applyFill="1" applyBorder="1" applyAlignment="1">
      <alignment horizontal="center" vertical="center"/>
    </xf>
    <xf numFmtId="170" fontId="11" fillId="8" borderId="3" xfId="3" applyNumberFormat="1" applyFont="1" applyFill="1" applyBorder="1" applyAlignment="1">
      <alignment horizontal="center" vertical="center"/>
    </xf>
    <xf numFmtId="170" fontId="11" fillId="8" borderId="4" xfId="3" applyNumberFormat="1" applyFont="1" applyFill="1" applyBorder="1" applyAlignment="1">
      <alignment horizontal="center" vertical="center"/>
    </xf>
    <xf numFmtId="49" fontId="11" fillId="8" borderId="7" xfId="3" applyNumberFormat="1" applyFont="1" applyFill="1" applyBorder="1" applyAlignment="1">
      <alignment horizontal="center" vertical="center" wrapText="1"/>
    </xf>
    <xf numFmtId="49" fontId="11" fillId="8" borderId="9" xfId="3" applyNumberFormat="1" applyFont="1" applyFill="1" applyBorder="1" applyAlignment="1">
      <alignment horizontal="center" vertical="center" wrapText="1"/>
    </xf>
    <xf numFmtId="170" fontId="11" fillId="13" borderId="2" xfId="3" applyNumberFormat="1" applyFont="1" applyFill="1" applyBorder="1" applyAlignment="1">
      <alignment horizontal="center" vertical="center" wrapText="1"/>
    </xf>
    <xf numFmtId="170" fontId="11" fillId="13" borderId="3" xfId="3" applyNumberFormat="1" applyFont="1" applyFill="1" applyBorder="1" applyAlignment="1">
      <alignment horizontal="center" vertical="center" wrapText="1"/>
    </xf>
    <xf numFmtId="170" fontId="11" fillId="13" borderId="4" xfId="3" applyNumberFormat="1" applyFont="1" applyFill="1" applyBorder="1" applyAlignment="1">
      <alignment horizontal="center" vertical="center" wrapText="1"/>
    </xf>
    <xf numFmtId="170" fontId="7" fillId="17" borderId="1" xfId="3" applyNumberFormat="1" applyFont="1" applyFill="1" applyBorder="1" applyAlignment="1">
      <alignment horizontal="center" vertical="center"/>
    </xf>
    <xf numFmtId="170" fontId="7" fillId="18" borderId="2" xfId="3" applyNumberFormat="1" applyFont="1" applyFill="1" applyBorder="1" applyAlignment="1">
      <alignment horizontal="center" vertical="center"/>
    </xf>
    <xf numFmtId="171" fontId="7" fillId="18" borderId="3" xfId="1" applyNumberFormat="1" applyFont="1" applyFill="1" applyBorder="1" applyAlignment="1">
      <alignment horizontal="center" vertical="center"/>
    </xf>
    <xf numFmtId="170" fontId="7" fillId="18" borderId="3" xfId="3" applyNumberFormat="1" applyFont="1" applyFill="1" applyBorder="1" applyAlignment="1">
      <alignment horizontal="center" vertical="center"/>
    </xf>
    <xf numFmtId="170" fontId="7" fillId="18" borderId="4" xfId="3" applyNumberFormat="1" applyFont="1" applyFill="1" applyBorder="1" applyAlignment="1">
      <alignment horizontal="center" vertical="center"/>
    </xf>
    <xf numFmtId="170" fontId="7" fillId="18" borderId="1" xfId="3" applyNumberFormat="1" applyFont="1" applyFill="1" applyBorder="1" applyAlignment="1">
      <alignment horizontal="center" vertical="center"/>
    </xf>
    <xf numFmtId="170" fontId="7" fillId="3" borderId="2" xfId="3" applyNumberFormat="1" applyFont="1" applyFill="1" applyBorder="1" applyAlignment="1">
      <alignment horizontal="center" vertical="center"/>
    </xf>
    <xf numFmtId="171" fontId="7" fillId="3" borderId="3" xfId="1" applyNumberFormat="1" applyFont="1" applyFill="1" applyBorder="1" applyAlignment="1">
      <alignment horizontal="center" vertical="center"/>
    </xf>
    <xf numFmtId="170" fontId="7" fillId="3" borderId="3" xfId="3" applyNumberFormat="1" applyFont="1" applyFill="1" applyBorder="1" applyAlignment="1">
      <alignment horizontal="center" vertical="center"/>
    </xf>
    <xf numFmtId="170" fontId="7" fillId="3" borderId="4" xfId="3" applyNumberFormat="1" applyFont="1" applyFill="1" applyBorder="1" applyAlignment="1">
      <alignment horizontal="center" vertical="center"/>
    </xf>
    <xf numFmtId="170" fontId="7" fillId="4" borderId="1" xfId="3" applyNumberFormat="1" applyFont="1" applyFill="1" applyBorder="1" applyAlignment="1">
      <alignment horizontal="center" vertical="center"/>
    </xf>
    <xf numFmtId="170" fontId="7" fillId="5" borderId="1" xfId="3" applyNumberFormat="1" applyFont="1" applyFill="1" applyBorder="1" applyAlignment="1">
      <alignment horizontal="center" vertical="center"/>
    </xf>
    <xf numFmtId="170" fontId="7" fillId="10" borderId="2" xfId="3" applyNumberFormat="1" applyFont="1" applyFill="1" applyBorder="1" applyAlignment="1">
      <alignment horizontal="center" vertical="center"/>
    </xf>
    <xf numFmtId="171" fontId="7" fillId="10" borderId="3" xfId="1" applyNumberFormat="1" applyFont="1" applyFill="1" applyBorder="1" applyAlignment="1">
      <alignment horizontal="center" vertical="center"/>
    </xf>
    <xf numFmtId="170" fontId="7" fillId="10" borderId="3" xfId="3" applyNumberFormat="1" applyFont="1" applyFill="1" applyBorder="1" applyAlignment="1">
      <alignment horizontal="center" vertical="center"/>
    </xf>
    <xf numFmtId="170" fontId="7" fillId="10" borderId="4" xfId="3" applyNumberFormat="1" applyFont="1" applyFill="1" applyBorder="1" applyAlignment="1">
      <alignment horizontal="center" vertical="center"/>
    </xf>
  </cellXfs>
  <cellStyles count="398">
    <cellStyle name="." xfId="75" xr:uid="{846DD7A8-6D2A-4A0F-9E19-31F17E2E1F4E}"/>
    <cellStyle name="??" xfId="76" xr:uid="{A705F808-A7AC-48A8-A68F-2FD214950ECB}"/>
    <cellStyle name="?? [0.00]_PRODUCT DETAIL Q1" xfId="77" xr:uid="{8E0FAD88-1B64-45C1-858C-B9BD1E497D23}"/>
    <cellStyle name="?? [0]" xfId="78" xr:uid="{C30CE899-5E17-429C-862F-EC3FA13025BF}"/>
    <cellStyle name="???? [0.00]_PRODUCT DETAIL Q1" xfId="79" xr:uid="{27314BB3-9E56-4FBE-AA4A-FF89737A85BC}"/>
    <cellStyle name="????_PRODUCT DETAIL Q1" xfId="80" xr:uid="{7017E5E9-DD08-42BD-ABD1-0C0BC359323E}"/>
    <cellStyle name="???[0]_Book1" xfId="81" xr:uid="{54521DC6-ED87-4F82-B775-2D6EF78B11E9}"/>
    <cellStyle name="???_95" xfId="82" xr:uid="{90FEEB3F-FFF7-45D1-8A7C-176D393AB2DD}"/>
    <cellStyle name="??_(????)??????" xfId="83" xr:uid="{ACA2D40C-CFCE-4C17-A820-7B823706001F}"/>
    <cellStyle name="0,0_x000d__x000a_NA_x000d__x000a_" xfId="84" xr:uid="{B82C282B-9406-4779-A7AC-F771F3812B57}"/>
    <cellStyle name="1" xfId="85" xr:uid="{7CA47ABC-2279-44AF-9E79-8EB1508554FD}"/>
    <cellStyle name="15" xfId="86" xr:uid="{BEAA13DB-37E5-4E37-875A-DB4D1642A96F}"/>
    <cellStyle name="2" xfId="87" xr:uid="{1719D358-FFAF-4D52-A4C5-A2CA0ABC11A4}"/>
    <cellStyle name="3" xfId="88" xr:uid="{FD33D7DA-048B-407C-9D16-5C4FC1B3D002}"/>
    <cellStyle name="4" xfId="89" xr:uid="{2233B437-EA03-4CBB-A146-B15F266E7B6D}"/>
    <cellStyle name="ÅëÈ­ [0]_¿ì¹°Åë" xfId="90" xr:uid="{77CC7119-0EF7-493F-9794-A22A525336AE}"/>
    <cellStyle name="AeE­ [0]_INQUIRY ¿µ¾÷AßAø " xfId="91" xr:uid="{32A59975-E201-4694-B91F-86F64D387AA3}"/>
    <cellStyle name="ÅëÈ­_¿ì¹°Åë" xfId="92" xr:uid="{BAE39C80-78AA-458A-9D62-A13A17B2A018}"/>
    <cellStyle name="AeE­_INQUIRY ¿µ¾÷AßAø " xfId="93" xr:uid="{8EB86596-33BF-41B8-A652-8AD112AA38FE}"/>
    <cellStyle name="ÄÞ¸¶ [0]_¿ì¹°Åë" xfId="94" xr:uid="{F2F4C2F4-121E-47F8-BC76-0B3F5E0DE1F5}"/>
    <cellStyle name="AÞ¸¶ [0]_INQUIRY ¿?¾÷AßAø " xfId="95" xr:uid="{4ADE2049-ECC1-4B5B-8735-E5D2627F5394}"/>
    <cellStyle name="ÄÞ¸¶_¿ì¹°Åë" xfId="96" xr:uid="{9B7EEAC1-95CB-4F08-BF0E-59BA744C9D30}"/>
    <cellStyle name="AÞ¸¶_INQUIRY ¿?¾÷AßAø " xfId="97" xr:uid="{EBEDB086-7C3C-4E2E-9FC5-80203A9C8014}"/>
    <cellStyle name="C?AØ_¿?¾÷CoE² " xfId="98" xr:uid="{F6E10F51-4297-4495-BEE2-F7F2CB43181A}"/>
    <cellStyle name="Ç¥ÁØ_´çÃÊ±¸ÀÔ»ý»ê" xfId="99" xr:uid="{5A2424D3-F94D-42ED-8E54-869A4DFF3BB3}"/>
    <cellStyle name="C￥AØ_¿μ¾÷CoE² " xfId="100" xr:uid="{05DB5434-9D5D-41EF-AF13-7DEF8579A2A4}"/>
    <cellStyle name="Calc Currency (0)" xfId="101" xr:uid="{EA9A90E5-36DA-495A-90A1-5FC6FAECFCFB}"/>
    <cellStyle name="Calc Currency (0) 2" xfId="102" xr:uid="{EEC2C48D-B990-4A88-AA11-05EA0EF919CD}"/>
    <cellStyle name="Calc Currency (2)" xfId="103" xr:uid="{FD1850C9-19B2-4B00-A55B-ECDE7888D638}"/>
    <cellStyle name="Calc Percent (0)" xfId="104" xr:uid="{39488AE6-2BEB-40BB-A4BC-8B85D19E78DA}"/>
    <cellStyle name="Calc Percent (1)" xfId="105" xr:uid="{E40ED36D-2760-4EE7-A04C-6EADEEB3188A}"/>
    <cellStyle name="Calc Percent (2)" xfId="106" xr:uid="{C3CAD547-8377-48C3-92E7-7DC5552A4871}"/>
    <cellStyle name="Calc Percent (2) 2" xfId="107" xr:uid="{A062380D-AE9B-4C9C-BDF2-C9ECC6291FD7}"/>
    <cellStyle name="Calc Units (0)" xfId="108" xr:uid="{5CDC0A19-9239-4D0D-8904-C1F3D4F21588}"/>
    <cellStyle name="Calc Units (1)" xfId="109" xr:uid="{6E0E2EBD-5E25-4F47-8BA9-66CC72B9EF65}"/>
    <cellStyle name="Calc Units (2)" xfId="110" xr:uid="{FD51E723-10E5-4449-9578-1DC32052F46A}"/>
    <cellStyle name="category" xfId="111" xr:uid="{87520DED-E46D-4A20-99E5-0F792D1506F4}"/>
    <cellStyle name="Centered Heading" xfId="112" xr:uid="{DF0968FB-ED75-47E8-BAC0-4C4BB525C33E}"/>
    <cellStyle name="Column_Title" xfId="115" xr:uid="{DF6BC257-2767-45C1-9DC2-03BE0057BB80}"/>
    <cellStyle name="Comma" xfId="1" builtinId="3"/>
    <cellStyle name="Comma %" xfId="117" xr:uid="{6373442A-3496-4EDF-8D5F-A72C4D94A30E}"/>
    <cellStyle name="Comma % 2" xfId="118" xr:uid="{4A32CD28-62F4-4D57-9A9D-732E50EA4F74}"/>
    <cellStyle name="Comma [0] 2" xfId="22" xr:uid="{DA3DEEF1-AB57-4591-BC27-E2B6E991ECA2}"/>
    <cellStyle name="Comma [0] 2 2" xfId="120" xr:uid="{20E2A453-2EA0-4094-A878-EF02B9EC5C79}"/>
    <cellStyle name="Comma [0] 3" xfId="119" xr:uid="{C8C10A18-46CB-4E8E-A3A5-6EE30B960668}"/>
    <cellStyle name="Comma [00]" xfId="121" xr:uid="{9E0512A9-AB8F-45CA-9AF8-A818E57D8B3F}"/>
    <cellStyle name="Comma 0.0" xfId="122" xr:uid="{4D50623A-326B-475B-AC37-31170A55A077}"/>
    <cellStyle name="Comma 0.0%" xfId="123" xr:uid="{0674547B-E9BC-47EE-91BA-E237365BD074}"/>
    <cellStyle name="Comma 0.00" xfId="124" xr:uid="{DC18D9FB-6579-4C44-BFF6-56A702DCA835}"/>
    <cellStyle name="Comma 0.00%" xfId="125" xr:uid="{91CA6D48-FCA3-4788-A84A-E0305120CF8B}"/>
    <cellStyle name="Comma 0.000" xfId="126" xr:uid="{6BA86432-E532-4AC7-A500-C4754215556D}"/>
    <cellStyle name="Comma 0.000%" xfId="127" xr:uid="{0828C8A0-591C-4DA8-B945-258758A6F194}"/>
    <cellStyle name="Comma 10" xfId="37" xr:uid="{58D29044-FE64-4866-8D14-071B1208065A}"/>
    <cellStyle name="Comma 10 3" xfId="347" xr:uid="{60E4B8DD-5AD3-4C73-8C46-FF656578E021}"/>
    <cellStyle name="Comma 10 3 2" xfId="392" xr:uid="{52A038E1-1FF2-49C3-ACC3-0218BE84935B}"/>
    <cellStyle name="Comma 11" xfId="9" xr:uid="{00000000-0005-0000-0000-000001000000}"/>
    <cellStyle name="Comma 11 2 2 3" xfId="12" xr:uid="{24836E93-0E6C-4104-B8B9-D7AEE6DE780B}"/>
    <cellStyle name="Comma 12" xfId="41" xr:uid="{4D2AFDCD-960F-4BF4-AAE7-2033CBC3065C}"/>
    <cellStyle name="Comma 13" xfId="40" xr:uid="{6E9EAC13-287A-4399-BE7D-9CFA925F83A0}"/>
    <cellStyle name="Comma 14" xfId="43" xr:uid="{0DEBD5B1-7C8D-484F-A360-A956DB1BD546}"/>
    <cellStyle name="Comma 143" xfId="388" xr:uid="{D8632327-CA9A-4BDA-905D-F652FFEACADA}"/>
    <cellStyle name="Comma 15" xfId="42" xr:uid="{777415AC-F643-42F8-80F0-AFDE6DC04EC0}"/>
    <cellStyle name="Comma 15 3" xfId="367" xr:uid="{72A0F0BA-0D83-48AC-855F-48CB03E503AA}"/>
    <cellStyle name="Comma 16" xfId="44" xr:uid="{CD9C05F6-D935-43BD-81D6-D423095C4488}"/>
    <cellStyle name="Comma 17" xfId="45" xr:uid="{49495B4B-D06B-4A64-8D8B-1EE6B752F5BF}"/>
    <cellStyle name="Comma 18" xfId="46" xr:uid="{1CC120E7-647B-44A9-8F6C-060E86E0D29E}"/>
    <cellStyle name="Comma 19" xfId="18" xr:uid="{41E73B38-E225-4982-8FE0-F1F45E62E5C0}"/>
    <cellStyle name="Comma 2" xfId="3" xr:uid="{00000000-0005-0000-0000-000002000000}"/>
    <cellStyle name="Comma 2 10" xfId="372" xr:uid="{CE4D6EF7-94A2-48F7-B7C2-06E49D5FBD85}"/>
    <cellStyle name="Comma 2 2" xfId="15" xr:uid="{5EBDD6B4-8F13-4FDA-B955-43BC41CEF0C5}"/>
    <cellStyle name="Comma 2 2 2" xfId="67" xr:uid="{5B066013-4B9A-4AB5-B7AC-E2C1E14F96C5}"/>
    <cellStyle name="Comma 2 2 3" xfId="129" xr:uid="{35BEB15F-3CB1-49EB-AE81-1B21A57EBED4}"/>
    <cellStyle name="Comma 2 3" xfId="128" xr:uid="{ECCE3C26-8FB6-42B7-91D9-3E9DB39DC585}"/>
    <cellStyle name="Comma 2 4" xfId="353" xr:uid="{C45E0E48-6ED6-455B-A304-6A15EB4DC1C1}"/>
    <cellStyle name="Comma 2 8" xfId="386" xr:uid="{D73B9033-ADF7-478B-8137-76F1D0E3FE2D}"/>
    <cellStyle name="Comma 20" xfId="17" xr:uid="{73B6C15A-0CBB-4EE8-A602-AFABBD37DDFB}"/>
    <cellStyle name="Comma 21" xfId="48" xr:uid="{B22CD535-2633-47F8-B947-61BB1048B369}"/>
    <cellStyle name="Comma 22" xfId="50" xr:uid="{77ABEA99-B0D3-47C8-BA7B-B725F6444355}"/>
    <cellStyle name="Comma 23" xfId="54" xr:uid="{F2882EEB-CAF3-4DD3-98E0-905577EBB89E}"/>
    <cellStyle name="Comma 24" xfId="56" xr:uid="{7A4EBA5D-4557-42B2-A4A4-B7359CAEDD5C}"/>
    <cellStyle name="Comma 25" xfId="52" xr:uid="{AB0123C2-8A46-4C9C-9A77-3A9C6A9E726D}"/>
    <cellStyle name="Comma 26" xfId="58" xr:uid="{D7339DD8-7017-473B-838E-74FB4257AC6C}"/>
    <cellStyle name="Comma 26 2" xfId="64" xr:uid="{828EFC74-80F2-46F9-843D-23B70B0B1097}"/>
    <cellStyle name="Comma 27" xfId="60" xr:uid="{80981BD8-528A-486F-A3A6-99D8E23A0174}"/>
    <cellStyle name="Comma 28" xfId="62" xr:uid="{FCC87540-1DBE-4147-91A3-118D1A1F7E00}"/>
    <cellStyle name="Comma 29" xfId="375" xr:uid="{6AA34DD0-00D2-4C6A-8342-C06C4C6497F9}"/>
    <cellStyle name="Comma 3" xfId="21" xr:uid="{2CC492C2-7D15-423C-B03D-B817BD1B76BB}"/>
    <cellStyle name="Comma 3 2" xfId="131" xr:uid="{22145BE7-7992-42E5-A291-93F4A1295C6F}"/>
    <cellStyle name="Comma 3 2 2" xfId="370" xr:uid="{54D2E0CA-1F43-40E8-960F-43C032E21D8D}"/>
    <cellStyle name="Comma 3 3" xfId="130" xr:uid="{1C175AC5-11AE-4AA1-824D-AF34E1AC0100}"/>
    <cellStyle name="Comma 3 4" xfId="368" xr:uid="{7341E824-11DF-4767-A9FD-306C0306A02E}"/>
    <cellStyle name="Comma 30" xfId="383" xr:uid="{7487F7EC-29B0-41D8-9149-EE524732DB95}"/>
    <cellStyle name="Comma 31" xfId="355" xr:uid="{10FC41D5-606E-416B-A8D6-2EE251F89801}"/>
    <cellStyle name="Comma 32" xfId="393" xr:uid="{ED408C13-AAF0-40E6-82CD-9E0B7482445B}"/>
    <cellStyle name="Comma 33" xfId="397" xr:uid="{030AD8D5-7C13-4391-AA36-B62544E1CCB0}"/>
    <cellStyle name="Comma 4" xfId="25" xr:uid="{6070D4FF-1E13-471A-B8E0-5BB03189D512}"/>
    <cellStyle name="Comma 4 2" xfId="133" xr:uid="{3D832134-38AA-4EE8-A119-1959A4F416BA}"/>
    <cellStyle name="Comma 4 3" xfId="132" xr:uid="{D5058E8B-5038-437B-9FFE-948AF18CE417}"/>
    <cellStyle name="Comma 43" xfId="65" xr:uid="{ECCDC328-49E5-4863-90AD-D29C9729DE9D}"/>
    <cellStyle name="Comma 5" xfId="27" xr:uid="{2CB6424A-136B-487A-B45E-F28412F16EDA}"/>
    <cellStyle name="Comma 5 2" xfId="134" xr:uid="{467E6B7D-A09D-4AE0-9019-00F5B24B1E91}"/>
    <cellStyle name="Comma 55" xfId="349" xr:uid="{E6035C56-160F-417C-B8C1-35D5588C6A84}"/>
    <cellStyle name="Comma 6" xfId="28" xr:uid="{4B32F8B6-6CCB-42D1-B4C9-8614670FEDB4}"/>
    <cellStyle name="Comma 6 2" xfId="136" xr:uid="{373DBDAF-3E55-406C-BD22-01A1E138CC3E}"/>
    <cellStyle name="Comma 6 2 2" xfId="137" xr:uid="{131D88A1-B504-4959-8CFB-872EBDE7D22B}"/>
    <cellStyle name="Comma 6 3" xfId="138" xr:uid="{D14BD0CB-89F9-4EB9-B85C-F1DEBE0A21AA}"/>
    <cellStyle name="Comma 6 4" xfId="135" xr:uid="{A9650B07-3602-486C-B696-B178BC1DD3D3}"/>
    <cellStyle name="Comma 7" xfId="30" xr:uid="{FBA18517-CC2E-479D-A44E-484491CF59A6}"/>
    <cellStyle name="Comma 7 2" xfId="139" xr:uid="{9B23CF8B-32FF-4111-9EA4-F9DF733D8779}"/>
    <cellStyle name="Comma 70" xfId="371" xr:uid="{9E478704-95E6-4AD0-A439-7511C9B9DBED}"/>
    <cellStyle name="Comma 71" xfId="31" xr:uid="{C3F0ADED-0BA0-4D3D-9D12-CCCD32797A63}"/>
    <cellStyle name="Comma 8" xfId="33" xr:uid="{958A5836-E2F4-4262-9B58-C1503DF2AB96}"/>
    <cellStyle name="Comma 8 2" xfId="116" xr:uid="{45ACC37A-8254-4C00-8453-44C25CF81AED}"/>
    <cellStyle name="Comma 81" xfId="66" xr:uid="{D73D0AFA-64A2-442D-B4AF-13CCAF6E818D}"/>
    <cellStyle name="Comma 9" xfId="35" xr:uid="{4303D442-CF62-44DF-9899-18AF82F3B199}"/>
    <cellStyle name="Comma 90" xfId="391" xr:uid="{A9DBEC73-C395-4BBC-B12D-8EB83D27FA7D}"/>
    <cellStyle name="Comma 92" xfId="390" xr:uid="{EF16E500-71C5-4289-8B26-D7CFBAFF78E0}"/>
    <cellStyle name="comma zerodec" xfId="140" xr:uid="{E8DEF005-960F-4A81-8BF8-3E34BD1376E4}"/>
    <cellStyle name="Comma0" xfId="141" xr:uid="{DF6AC627-2454-42B1-8721-DD581D843F61}"/>
    <cellStyle name="Company Name" xfId="142" xr:uid="{CF7B1AE4-A80D-4619-9414-7DB0811ED19F}"/>
    <cellStyle name="CR Comma" xfId="143" xr:uid="{C4D6987D-FE99-473E-9D80-CFC38099B36D}"/>
    <cellStyle name="CR Currency" xfId="144" xr:uid="{0C608AF0-BFDA-49F6-8957-330654AAE589}"/>
    <cellStyle name="Credit" xfId="145" xr:uid="{E66BEEAF-988D-4A9A-8438-6669A708D05D}"/>
    <cellStyle name="Credit subtotal" xfId="146" xr:uid="{82DA149E-E3DC-419F-9D4E-4771E22779A1}"/>
    <cellStyle name="Credit subtotal 2" xfId="357" xr:uid="{7A213AB1-2A2A-45FA-9EBF-8228E9FE5BAB}"/>
    <cellStyle name="Credit Total" xfId="147" xr:uid="{DBA95CA5-249E-4211-90C5-BEBDFD661AC5}"/>
    <cellStyle name="Currency %" xfId="149" xr:uid="{DE6945AB-98C0-4633-99FA-33A73EAE9100}"/>
    <cellStyle name="Currency % 2" xfId="150" xr:uid="{17C69FD8-1ACA-4347-BAEA-79091EC6D158}"/>
    <cellStyle name="Currency [0] 2" xfId="20" xr:uid="{2F8F8AA8-5279-40C5-BA0D-D4FE115B39B4}"/>
    <cellStyle name="Currency [00]" xfId="151" xr:uid="{AFC93869-CE20-43E0-807F-11323031FBC9}"/>
    <cellStyle name="Currency 0.0" xfId="152" xr:uid="{74AE6B39-A4D3-47A1-AA95-59568FC99723}"/>
    <cellStyle name="Currency 0.0%" xfId="153" xr:uid="{6BD8133B-988B-41E8-B3D7-C07A31EA5F52}"/>
    <cellStyle name="Currency 0.00" xfId="154" xr:uid="{E476945B-7502-4970-A514-9C0A629A95F2}"/>
    <cellStyle name="Currency 0.00%" xfId="155" xr:uid="{6BAA33D1-9E86-4891-A91F-C934A77D602B}"/>
    <cellStyle name="Currency 0.000" xfId="156" xr:uid="{3BDE7C51-FDEE-42C4-A7F3-86E1AB79FED2}"/>
    <cellStyle name="Currency 0.000%" xfId="157" xr:uid="{B2E8A9C5-3BD2-4AE2-986C-E09AB796ED65}"/>
    <cellStyle name="Currency 10" xfId="47" xr:uid="{DFFA90B3-0571-4574-A71A-FDD3AD29D883}"/>
    <cellStyle name="Currency 11" xfId="49" xr:uid="{AAD4A85E-7DE1-4C04-9667-DEDB141B34E2}"/>
    <cellStyle name="Currency 12" xfId="51" xr:uid="{AB4002BE-27C6-429E-B0B9-784A9D4E40D3}"/>
    <cellStyle name="Currency 13" xfId="57" xr:uid="{13499791-15E5-46B2-AEA8-391DD844633D}"/>
    <cellStyle name="Currency 14" xfId="59" xr:uid="{250374A7-559C-42A6-BF5D-4CC25BB8F2AA}"/>
    <cellStyle name="Currency 15" xfId="61" xr:uid="{747F5B3E-78CF-49B8-8EDD-C0CEC9F1AF11}"/>
    <cellStyle name="Currency 16" xfId="374" xr:uid="{DF19E41B-B0B2-4526-8512-2BAF029BDFE0}"/>
    <cellStyle name="Currency 17" xfId="382" xr:uid="{47BF732A-079B-4670-A4BF-5E02AC4253C7}"/>
    <cellStyle name="Currency 18" xfId="396" xr:uid="{98E103EC-DA11-4819-A27B-34A8D798AAF9}"/>
    <cellStyle name="Currency 2" xfId="19" xr:uid="{AA63E4E4-B0BC-4F80-AF6A-136CEE1FED0F}"/>
    <cellStyle name="Currency 2 2" xfId="158" xr:uid="{67F292AB-29E8-429C-B595-90CF20F30985}"/>
    <cellStyle name="Currency 3" xfId="23" xr:uid="{1A256F74-6C3E-49F3-819B-53787D882CE7}"/>
    <cellStyle name="Currency 3 2" xfId="148" xr:uid="{15499D20-DA66-4156-9BBE-77A193908CA7}"/>
    <cellStyle name="Currency 4" xfId="24" xr:uid="{F32F4A2D-ED5F-4063-8977-AD89761C2A06}"/>
    <cellStyle name="Currency 5" xfId="26" xr:uid="{23551DA4-64A6-47D5-9972-16859D96886D}"/>
    <cellStyle name="Currency 6" xfId="29" xr:uid="{D56EB1F9-D1B8-482A-94B7-09F30DD6679C}"/>
    <cellStyle name="Currency 7" xfId="32" xr:uid="{FB81354D-20E7-4E89-90AE-24980A293A54}"/>
    <cellStyle name="Currency 8" xfId="34" xr:uid="{0D9139E3-44F6-4547-9394-4F12BC50518F}"/>
    <cellStyle name="Currency 9" xfId="36" xr:uid="{85DAB9E0-0BBF-4184-AC24-18E341F84237}"/>
    <cellStyle name="Currency0" xfId="159" xr:uid="{B5674C82-EB1C-4E9B-AFF4-AD0008D16FD0}"/>
    <cellStyle name="Currency1" xfId="160" xr:uid="{A6121B98-F469-4D19-8F84-CC2218335763}"/>
    <cellStyle name="Change A&amp;ll" xfId="113" xr:uid="{38253D47-44DC-416D-9611-781BC86C5DF4}"/>
    <cellStyle name="Change A&amp;ll 2" xfId="356" xr:uid="{77A18088-AC73-4F5A-BDE8-3F34B9B19A2E}"/>
    <cellStyle name="Chuẩn 2_1.DANH MỤC BC QT TC - 2015" xfId="350" xr:uid="{68BA0B10-1224-4E89-B246-683B0267DD99}"/>
    <cellStyle name="Chuẩn 3_1.DANH MỤC BC QT TC - 2015" xfId="351" xr:uid="{852FEF02-3336-402C-BF20-0F40D9E4A37E}"/>
    <cellStyle name="CHUONG" xfId="114" xr:uid="{8D40478D-E8B0-447B-AB98-4345A95093CC}"/>
    <cellStyle name="Dan" xfId="161" xr:uid="{07428947-2C17-4AEB-A0F5-EBAACF55088D}"/>
    <cellStyle name="Date" xfId="162" xr:uid="{F03A3CF7-EC7A-437E-820B-4D6585AA840B}"/>
    <cellStyle name="Date Short" xfId="163" xr:uid="{B19D37B7-E8E9-41E9-994D-8EEF8F31DE53}"/>
    <cellStyle name="Date_Bao Cao Kiem Tra  trung bay Ke milk-yomilk CK 2" xfId="164" xr:uid="{01C41F23-5934-413C-8859-A2ADAD435294}"/>
    <cellStyle name="Debit" xfId="165" xr:uid="{8439BDAD-A630-41D1-89A3-DF680DB2AB3F}"/>
    <cellStyle name="Debit subtotal" xfId="166" xr:uid="{D3ADB6E6-348E-40B8-9D4A-74B0B6B1C334}"/>
    <cellStyle name="Debit subtotal 2" xfId="358" xr:uid="{57B435EF-7DA1-4AF4-8816-8C26B4C4550E}"/>
    <cellStyle name="Debit Total" xfId="167" xr:uid="{7515CCD0-F214-4B72-8B02-D47EAFD2A5CD}"/>
    <cellStyle name="DELTA" xfId="168" xr:uid="{2BBE1D43-D749-4A86-A842-02F774E7B647}"/>
    <cellStyle name="Dezimal [0]_68574_Materialbedarfsliste" xfId="169" xr:uid="{66B65815-D358-4F91-9D42-EEC85F3C3BC4}"/>
    <cellStyle name="Dezimal_68574_Materialbedarfsliste" xfId="170" xr:uid="{CC1BB721-DA25-4C1E-B659-8151FF0C696B}"/>
    <cellStyle name="Dollar (zero dec)" xfId="171" xr:uid="{EE86E737-7872-4282-A830-8968E56867B1}"/>
    <cellStyle name="Enter Currency (0)" xfId="172" xr:uid="{3B76FB43-6EBB-4AD5-8258-09BB86502FBD}"/>
    <cellStyle name="Enter Currency (2)" xfId="173" xr:uid="{687465AD-3AB2-4C80-8348-416A3F96EA55}"/>
    <cellStyle name="Enter Units (0)" xfId="174" xr:uid="{1E67E13F-EE94-4AD3-B27B-75768EE51C63}"/>
    <cellStyle name="Enter Units (1)" xfId="175" xr:uid="{8DD896D6-6677-40DF-9DF1-DC68388AD874}"/>
    <cellStyle name="Enter Units (2)" xfId="176" xr:uid="{31A8211D-923F-47B1-B322-CDAEE31D4195}"/>
    <cellStyle name="Euro" xfId="177" xr:uid="{570F4DEC-DF38-42CB-9398-F0049950A6F4}"/>
    <cellStyle name="F2" xfId="178" xr:uid="{1DCEA94F-0260-4179-AA7C-5B8DC36F56E7}"/>
    <cellStyle name="F3" xfId="179" xr:uid="{9030E1C7-3187-424B-B545-34DE875D1B45}"/>
    <cellStyle name="F4" xfId="180" xr:uid="{EC2A09D4-CF11-4210-B4DD-76BEEA76C8DB}"/>
    <cellStyle name="F5" xfId="181" xr:uid="{DE89121B-BED3-4361-BFA2-2C7C2049368F}"/>
    <cellStyle name="F6" xfId="182" xr:uid="{DBE0BBE4-C88D-4F92-84C8-99679F2E4DF7}"/>
    <cellStyle name="F7" xfId="183" xr:uid="{CE4647D4-A235-4587-B24D-6195B8146353}"/>
    <cellStyle name="F8" xfId="184" xr:uid="{918C6F18-5B1E-40DD-9B33-30B782DAFF84}"/>
    <cellStyle name="Fixed" xfId="185" xr:uid="{67D7FF28-A0B7-4839-A8C4-AA3C230CBBD4}"/>
    <cellStyle name="Grey" xfId="186" xr:uid="{2AD0F59E-3A04-4E74-A8CC-FBD42606A305}"/>
    <cellStyle name="ha" xfId="187" xr:uid="{9D2E6B06-3B2D-46D0-816C-9CCA92263155}"/>
    <cellStyle name="HEADER" xfId="188" xr:uid="{AAF88791-97AE-4FD5-B4AB-82D958BD454F}"/>
    <cellStyle name="Header1" xfId="189" xr:uid="{2080F8CB-6FA0-4E24-AC92-A9B51B55E186}"/>
    <cellStyle name="Header2" xfId="190" xr:uid="{12B95578-CA42-49CA-829E-DA901EAE3814}"/>
    <cellStyle name="Heading" xfId="191" xr:uid="{52DE07CF-8C47-4FB1-A316-71B3A3994A58}"/>
    <cellStyle name="Heading No Underline" xfId="192" xr:uid="{F0FF26CD-5340-4022-899D-2B7822B93EE9}"/>
    <cellStyle name="Heading With Underline" xfId="193" xr:uid="{914DEA50-DBAB-47EF-9EC5-63811C82E0B8}"/>
    <cellStyle name="HEADING1" xfId="194" xr:uid="{2F47E090-89BD-43D5-8685-4CBA17B9BFA3}"/>
    <cellStyle name="HEADING2" xfId="195" xr:uid="{4869C8C5-0D9A-49EF-AAC9-872D882D516B}"/>
    <cellStyle name="headoption" xfId="196" xr:uid="{41EB6995-2BC3-4A90-A7AD-0221226178B0}"/>
    <cellStyle name="headoption 2" xfId="359" xr:uid="{92F5A302-D536-413B-AF47-0A71BA26EE40}"/>
    <cellStyle name="Hoa-Scholl" xfId="197" xr:uid="{A8E960B9-1C88-4CE7-9500-311923581C9A}"/>
    <cellStyle name="Hoa-Scholl 2" xfId="360" xr:uid="{0047D070-BF64-4905-AC9B-0E1AA5574755}"/>
    <cellStyle name="Indent" xfId="198" xr:uid="{58B5BBD9-1FBD-4062-9D23-6019D241C58B}"/>
    <cellStyle name="Input [yellow]" xfId="199" xr:uid="{BD938D65-2520-45C9-A9AC-50F994FFDDD4}"/>
    <cellStyle name="Input [yellow] 2" xfId="361" xr:uid="{AC343914-C82C-4699-A99A-63B4E30B5557}"/>
    <cellStyle name="Ledger 17 x 11 in" xfId="200" xr:uid="{ABC8257D-83CE-49E3-9F6B-57B18447C5CC}"/>
    <cellStyle name="Ledger 17 x 11 in 2" xfId="201" xr:uid="{ED7E4CCC-82EA-41C6-9F82-037F3F852266}"/>
    <cellStyle name="Line" xfId="202" xr:uid="{C64F1918-5306-4C9F-B483-8E5EAC9769B2}"/>
    <cellStyle name="Line 2" xfId="203" xr:uid="{F8E1F175-C0FB-469E-A8C4-2A149E2204FE}"/>
    <cellStyle name="Link Currency (0)" xfId="204" xr:uid="{A742CF0D-7D7D-4BB3-BD4A-51EE05E3CE95}"/>
    <cellStyle name="Link Currency (2)" xfId="205" xr:uid="{8700A95F-3046-411F-8C3B-5B1AFDF6CC6B}"/>
    <cellStyle name="Link Units (0)" xfId="206" xr:uid="{B390A1B0-0FA7-4AF8-BB65-ECF83CE99132}"/>
    <cellStyle name="Link Units (1)" xfId="207" xr:uid="{8219C836-910D-46E0-887F-48602968BC20}"/>
    <cellStyle name="Link Units (2)" xfId="208" xr:uid="{397536F8-6132-4783-82A4-456CA084B617}"/>
    <cellStyle name="Millares [0]_Well Timing" xfId="209" xr:uid="{0212A652-3E98-4948-8F1B-F75CEEB6B5DA}"/>
    <cellStyle name="Millares_Well Timing" xfId="210" xr:uid="{79F42DFF-6CFA-470C-9768-C03970AC398C}"/>
    <cellStyle name="Model" xfId="211" xr:uid="{9C602354-8939-4775-8BDD-5AAA245A5E39}"/>
    <cellStyle name="Moneda [0]_Well Timing" xfId="212" xr:uid="{BEF2AD15-3D64-4A27-96CF-D2291C45D1FE}"/>
    <cellStyle name="Moneda_Well Timing" xfId="213" xr:uid="{8C3F5DB1-D86C-4347-8F85-4275AAE13426}"/>
    <cellStyle name="Monétaire [0]_TARIFFS DB" xfId="214" xr:uid="{8EA4A3F9-B57A-4E28-9959-5E38ABE3E26A}"/>
    <cellStyle name="Monétaire_TARIFFS DB" xfId="215" xr:uid="{1E86B5E7-0198-4A3E-BD38-D29B6D7C6CA2}"/>
    <cellStyle name="n" xfId="216" xr:uid="{89AF77D5-FA0F-4E50-947F-0C440EE844C2}"/>
    <cellStyle name="n_EVN cap von tu 01_01_2007 den 11_02_08" xfId="217" xr:uid="{1F164CA3-C21B-44FF-93D8-3750D3FA0213}"/>
    <cellStyle name="New Times Roman" xfId="218" xr:uid="{07CE83A3-FBC4-4DC5-9CF1-52F43E5634D7}"/>
    <cellStyle name="no dec" xfId="219" xr:uid="{7F7476E8-2E7A-461E-9C27-23116E18F02B}"/>
    <cellStyle name="ÑONVÒ" xfId="220" xr:uid="{1F2F93FC-E4A7-4DD3-A43B-F2867DF593A6}"/>
    <cellStyle name="ÑONVÒ 2" xfId="362" xr:uid="{8E7B8491-E3CB-4753-91D0-57905D914091}"/>
    <cellStyle name="Normal" xfId="0" builtinId="0"/>
    <cellStyle name="Normal - Style1" xfId="221" xr:uid="{BC099501-B34D-4ABF-8F5D-A751B14272D0}"/>
    <cellStyle name="Normal - 유형1" xfId="222" xr:uid="{9BF43DFF-6090-49A5-926B-7655395F165E}"/>
    <cellStyle name="Normal 10" xfId="346" xr:uid="{778ECE56-2CE6-4B42-89A8-C26FC8F889CB}"/>
    <cellStyle name="Normal 10 4" xfId="6" xr:uid="{00000000-0005-0000-0000-000004000000}"/>
    <cellStyle name="Normal 11" xfId="354" xr:uid="{79FC2E53-F913-46AA-BAA4-BC8CE936CDFA}"/>
    <cellStyle name="Normal 12" xfId="380" xr:uid="{A28924B9-364F-4E3F-BDA2-AF3BA43B6AC0}"/>
    <cellStyle name="Normal 13" xfId="384" xr:uid="{6E8573F2-CBCF-48CE-A99E-53B05B239ED6}"/>
    <cellStyle name="Normal 14" xfId="394" xr:uid="{C5662FEE-DE83-4659-B05D-B35006AD063D}"/>
    <cellStyle name="Normal 2" xfId="8" xr:uid="{00000000-0005-0000-0000-000005000000}"/>
    <cellStyle name="Normal 2 10 2" xfId="4" xr:uid="{00000000-0005-0000-0000-000006000000}"/>
    <cellStyle name="Normal 2 14 2" xfId="11" xr:uid="{EC05A3BB-CDA2-41FE-A7F1-055FD11929B8}"/>
    <cellStyle name="Normal 2 2" xfId="10" xr:uid="{00000000-0005-0000-0000-000007000000}"/>
    <cellStyle name="Normal 2 2 2" xfId="376" xr:uid="{540EC19C-D4F7-47D4-86A1-FE2E2C7AAA8A}"/>
    <cellStyle name="Normal 2 2 3" xfId="377" xr:uid="{02BB8AD2-7C3A-4837-A138-F885F9C797AA}"/>
    <cellStyle name="Normal 2 3" xfId="352" xr:uid="{EF18C3D0-BDFE-4FEE-8807-145ECA182AE4}"/>
    <cellStyle name="Normal 2 4" xfId="223" xr:uid="{EFED600D-1705-4F44-ACD0-59EAD0BCD731}"/>
    <cellStyle name="Normal 2 5 2" xfId="63" xr:uid="{FB43B079-FC58-4254-9AF3-2881CE5BDC37}"/>
    <cellStyle name="Normal 23" xfId="7" xr:uid="{00000000-0005-0000-0000-000008000000}"/>
    <cellStyle name="Normal 3" xfId="38" xr:uid="{58A15194-7414-4988-86BD-5F1054EE5A37}"/>
    <cellStyle name="Normal 3 14" xfId="385" xr:uid="{E3C9E7AC-83FB-4DE2-8894-1D8B508614AF}"/>
    <cellStyle name="Normal 3 2" xfId="345" xr:uid="{23D4B46C-3E02-43B3-AE82-794675E1347D}"/>
    <cellStyle name="Normal 3 3" xfId="224" xr:uid="{D2CD0AFA-53B0-4A37-BD59-8ED61B62C9EC}"/>
    <cellStyle name="Normal 38" xfId="73" xr:uid="{0C7D8D21-CB28-4E9E-A64A-7BCA09E43DA8}"/>
    <cellStyle name="Normal 4" xfId="53" xr:uid="{C97F0988-ED7D-4C7D-9177-A418E52FD228}"/>
    <cellStyle name="Normal 4 2" xfId="226" xr:uid="{F71BFC80-93D0-40B5-BE73-5BF8166F6FC4}"/>
    <cellStyle name="Normal 4 3" xfId="225" xr:uid="{3875A395-3AD9-44EE-AA5F-95E67D6BEF7C}"/>
    <cellStyle name="Normal 5" xfId="227" xr:uid="{AE30CBCC-7733-420D-90AF-CEB8377F3921}"/>
    <cellStyle name="Normal 50" xfId="70" xr:uid="{BED56115-4D04-4B45-B1A7-3612B4F6C1EE}"/>
    <cellStyle name="Normal 52" xfId="71" xr:uid="{37A7A820-4FF9-475D-A2DA-01E0144A1DA6}"/>
    <cellStyle name="Normal 53" xfId="72" xr:uid="{F25A1D88-393E-4000-A2F4-6B727C5A5A0E}"/>
    <cellStyle name="Normal 55" xfId="348" xr:uid="{3B58B8D0-9D95-4CDF-876A-96BA9D70F41D}"/>
    <cellStyle name="Normal 6" xfId="228" xr:uid="{FF40B2A0-C614-4420-AE2F-D511B726C0EC}"/>
    <cellStyle name="Normal 64" xfId="69" xr:uid="{19BF463B-69EE-40A0-8F7D-81879C188C6B}"/>
    <cellStyle name="Normal 7" xfId="74" xr:uid="{1C2451DC-3FE0-4D33-A736-1CC39AA73034}"/>
    <cellStyle name="Normal 8" xfId="373" xr:uid="{BE4993EF-EE6C-4282-B18B-D855B80D328B}"/>
    <cellStyle name="Normal 85" xfId="387" xr:uid="{8DE8C533-32B6-42F6-A88C-31AE22B165BF}"/>
    <cellStyle name="Normal 86" xfId="369" xr:uid="{E546FFFF-2FF6-438A-B936-CCEF7E995980}"/>
    <cellStyle name="Normal 89" xfId="16" xr:uid="{92FD6578-B09B-43F3-9D85-2FF092813A8A}"/>
    <cellStyle name="Normal 9" xfId="378" xr:uid="{43D81C78-A73C-4D18-B027-8C7384F50A29}"/>
    <cellStyle name="Normal 9 5" xfId="39" xr:uid="{5B95F4FB-93FC-4DFC-93DF-F9E63D3F05CE}"/>
    <cellStyle name="Number" xfId="5" xr:uid="{00000000-0005-0000-0000-000009000000}"/>
    <cellStyle name="oft Excel]_x000d__x000a_Comment=open=/f ‚ðw’è‚·‚é‚ÆAƒ†[ƒU[’è‹`ŠÖ”‚ðŠÖ”“\‚è•t‚¯‚Ìˆê——‚É“o˜^‚·‚é‚±‚Æ‚ª‚Å‚«‚Ü‚·B_x000d__x000a_Maximized" xfId="229" xr:uid="{95CEF859-B807-4C95-926B-BC15E3BC72A7}"/>
    <cellStyle name="omma [0]_Mktg Prog" xfId="230" xr:uid="{DE585758-701C-4143-9B66-895C0BFC112A}"/>
    <cellStyle name="ormal_Sheet1_1" xfId="231" xr:uid="{A25A1905-E13F-4761-B51B-743502349B45}"/>
    <cellStyle name="paint" xfId="232" xr:uid="{08199397-2620-4A1C-9165-6288576F50B7}"/>
    <cellStyle name="Percent" xfId="2" builtinId="5"/>
    <cellStyle name="Percent %" xfId="234" xr:uid="{FE9C72A0-775C-49EF-AD50-B0CBBF6E83C7}"/>
    <cellStyle name="Percent % Long Underline" xfId="235" xr:uid="{485FBDB6-10D3-40B8-BA09-91617119A8CA}"/>
    <cellStyle name="Percent %_Worksheet in  US Financial Statements Ref. Workbook - Single Co" xfId="236" xr:uid="{723C5563-2B55-4035-9395-E278083493C0}"/>
    <cellStyle name="Percent (0)" xfId="237" xr:uid="{F006E829-EE83-45FC-8077-E1525EFC164E}"/>
    <cellStyle name="Percent (0) 2" xfId="238" xr:uid="{9D7F0D2D-2EB3-4A13-A3B4-A6BB38B10E8B}"/>
    <cellStyle name="Percent [0]" xfId="239" xr:uid="{CD588ED3-C79C-48C2-9F76-5165AB967214}"/>
    <cellStyle name="Percent [0] 2" xfId="240" xr:uid="{1495AF90-AAA1-4C84-8535-9A3ED3662045}"/>
    <cellStyle name="Percent [00]" xfId="241" xr:uid="{95A623DE-1FD4-40A0-890A-F08328DEDBC4}"/>
    <cellStyle name="Percent [00] 2" xfId="242" xr:uid="{DDF2162B-04C7-4154-A745-E9F06C975771}"/>
    <cellStyle name="Percent [2]" xfId="243" xr:uid="{00EDDBF0-C7E4-46C2-A922-C07CEE9CA214}"/>
    <cellStyle name="Percent 0.0%" xfId="244" xr:uid="{5A7B3ACB-8296-4414-8D19-35AF151C6D79}"/>
    <cellStyle name="Percent 0.0% Long Underline" xfId="245" xr:uid="{F2D06F41-AD2A-4B1D-818E-744A50013381}"/>
    <cellStyle name="Percent 0.00%" xfId="246" xr:uid="{9B8A52B7-BE32-4D2D-ACB5-59821873C151}"/>
    <cellStyle name="Percent 0.00% Long Underline" xfId="247" xr:uid="{F2865869-5C36-4B0C-9005-39AFB4675956}"/>
    <cellStyle name="Percent 0.000%" xfId="248" xr:uid="{0ECB5B45-5A33-4CF6-AD1D-2BB1C8D23F53}"/>
    <cellStyle name="Percent 0.000% Long Underline" xfId="249" xr:uid="{C9830609-F85D-455F-984C-4362051C3718}"/>
    <cellStyle name="Percent 10 2" xfId="13" xr:uid="{00076F5C-13EC-4760-B08C-93C770E4822B}"/>
    <cellStyle name="Percent 14" xfId="68" xr:uid="{F03F01A9-0876-4723-8FA4-922FF4FA3D1E}"/>
    <cellStyle name="Percent 2" xfId="14" xr:uid="{A2070822-9667-4B1C-854F-DFC9A33BEF3B}"/>
    <cellStyle name="Percent 2 2" xfId="250" xr:uid="{98CA7F1F-9524-440A-9BB1-62286445920D}"/>
    <cellStyle name="Percent 3" xfId="55" xr:uid="{00C5B2AC-5426-43F1-AB7A-1F212003653E}"/>
    <cellStyle name="Percent 3 2" xfId="252" xr:uid="{6688D712-DEE6-4A7A-92DB-FE7BFCE92437}"/>
    <cellStyle name="Percent 3 3" xfId="251" xr:uid="{E0229F93-B96F-4F40-AC7B-E8814A42F2DF}"/>
    <cellStyle name="Percent 4" xfId="253" xr:uid="{170A1727-A4C8-49E4-A65E-E37E662653F9}"/>
    <cellStyle name="Percent 48" xfId="389" xr:uid="{08D9C93A-C3FD-473A-9676-547667551B0B}"/>
    <cellStyle name="Percent 5" xfId="233" xr:uid="{05B2A739-4007-47A2-9D4B-3BE45BF705AC}"/>
    <cellStyle name="Percent 6" xfId="381" xr:uid="{CA6F5C8F-623F-41D2-8AA0-E48FF8272626}"/>
    <cellStyle name="Percent 7" xfId="379" xr:uid="{8756E560-1B70-44DC-BBFD-D00AE08E918F}"/>
    <cellStyle name="Percent 8" xfId="395" xr:uid="{B12AE1E1-6886-43BD-BB00-EE8DD989D997}"/>
    <cellStyle name="PrePop Currency (0)" xfId="254" xr:uid="{9700E739-DEA6-4527-AC4A-89BE3B593707}"/>
    <cellStyle name="PrePop Currency (2)" xfId="255" xr:uid="{79CEB68E-C157-49EB-B324-05E986FE38A9}"/>
    <cellStyle name="PrePop Units (0)" xfId="256" xr:uid="{758876F1-C2C8-4245-833F-68413C53A936}"/>
    <cellStyle name="PrePop Units (1)" xfId="257" xr:uid="{165B5EE7-D665-4ABB-89BB-6F603EEA8D5F}"/>
    <cellStyle name="PrePop Units (2)" xfId="258" xr:uid="{F3416ACC-76DB-47EB-9ADB-82611B355B2B}"/>
    <cellStyle name="pricing" xfId="259" xr:uid="{6796B5A3-7B06-4543-B427-3663EAA28B26}"/>
    <cellStyle name="PSChar" xfId="260" xr:uid="{B21308E1-9101-480C-96B3-C96346AD483B}"/>
    <cellStyle name="PSChar 2" xfId="261" xr:uid="{A2180282-E903-4858-81C0-4AE02C69FD85}"/>
    <cellStyle name="PSHeading" xfId="262" xr:uid="{A9DD528E-63C2-466A-955B-416ED63EDD4A}"/>
    <cellStyle name="Standard_Anpassen der Amortisation" xfId="263" xr:uid="{83402CC0-F001-4756-9487-DDF3B61093FD}"/>
    <cellStyle name="Style 1" xfId="264" xr:uid="{36FC2C20-CB77-4101-B557-0EAF499F0B74}"/>
    <cellStyle name="Style 1 2" xfId="265" xr:uid="{38800AC8-3963-43DE-BB9F-28634EA96A11}"/>
    <cellStyle name="subhead" xfId="266" xr:uid="{566A3CE3-4683-4438-88D6-8341B83F1E5E}"/>
    <cellStyle name="SubHeading" xfId="267" xr:uid="{E21C6CD2-4418-4346-8A69-5962D195B3C4}"/>
    <cellStyle name="T" xfId="268" xr:uid="{8CD8B9AE-D449-43C8-A2F8-CF16EEC53072}"/>
    <cellStyle name="T_Bao cao kttb milk yomilkYAO-mien bac" xfId="269" xr:uid="{5D9921AA-ABA3-478E-8D96-493C61E443F3}"/>
    <cellStyle name="T_bc_km_ngay" xfId="270" xr:uid="{66F8585C-63E5-442A-A62C-FDC3ABDEF636}"/>
    <cellStyle name="T_Book1" xfId="271" xr:uid="{24EAEC64-DC16-494F-B5BA-05310AA52E91}"/>
    <cellStyle name="T_Cac bao cao TB  Milk-Yomilk-co Ke- CK 1-Vinh Thang" xfId="272" xr:uid="{4116223B-C9FE-4AA7-A901-9A2051A8118A}"/>
    <cellStyle name="T_cham diem Milk chu ky2-ANH MINH" xfId="273" xr:uid="{95A9CC05-4CEB-4D65-8821-583770B4B315}"/>
    <cellStyle name="T_cham trung bay ck 1 m.Bac milk co ke 2" xfId="274" xr:uid="{2E8F4EB8-D917-40EF-85B0-274D0D6A9ED5}"/>
    <cellStyle name="T_cham trung bay yao smart milk ck 2 mien Bac" xfId="275" xr:uid="{020B897F-D9C3-439F-86C1-A4B0C64A70EE}"/>
    <cellStyle name="T_danh sach chua nop bcao trung bay sua chua  tinh den 1-3-06" xfId="276" xr:uid="{8A704327-230C-4CD4-942F-DBDCBD10AF69}"/>
    <cellStyle name="T_Danh sach KH TB MilkYomilk Yao  Smart chu ky 2-Vinh Thang" xfId="277" xr:uid="{2E64F6FD-F391-45B0-9509-5FB8D49FEF68}"/>
    <cellStyle name="T_Danh sach KH trung bay MilkYomilk co ke chu ky 2-Vinh Thang" xfId="278" xr:uid="{EFA47504-9F5A-4CD5-BA4B-9ADA60EDA00A}"/>
    <cellStyle name="T_DSACH MILK YO MILK CK 2 M.BAC" xfId="279" xr:uid="{62E58B78-B132-40FE-925F-0F69CC389982}"/>
    <cellStyle name="T_DSKH Tbay Milk , Yomilk CK 2 Vu Thi Hanh" xfId="280" xr:uid="{6BD49138-134C-45A8-A48E-0F96904AA773}"/>
    <cellStyle name="T_form ton kho CK 2 tuan 8" xfId="281" xr:uid="{9C4F5390-A261-488E-A0C5-89773A0E42EA}"/>
    <cellStyle name="T_NPP Khanh Vinh Thai Nguyen - BC KTTB_CTrinh_TB__20_loc__Milk_Yomilk_CK1" xfId="282" xr:uid="{7F830DF6-C38A-47A1-803A-DA248DD3928D}"/>
    <cellStyle name="T_Sheet1" xfId="283" xr:uid="{CD331F51-4F1B-4828-9D53-A902380E8307}"/>
    <cellStyle name="T_sua chua cham trung bay  mien Bac" xfId="284" xr:uid="{458AE5CF-1224-4CD4-9DAA-F60881A240FC}"/>
    <cellStyle name="Text Indent A" xfId="285" xr:uid="{E8A72A05-88F5-4E60-BD86-AEAC38AED53E}"/>
    <cellStyle name="Text Indent B" xfId="286" xr:uid="{7A48FABE-80D0-4275-9757-DC94F76BA2F6}"/>
    <cellStyle name="Text Indent B 2" xfId="287" xr:uid="{1DB06739-7EC7-48B8-A688-B57979CE6071}"/>
    <cellStyle name="Text Indent C" xfId="288" xr:uid="{96F02F55-CD6C-4177-B2A5-27D4FA44D305}"/>
    <cellStyle name="Text Indent C 2" xfId="289" xr:uid="{1FBB7695-475E-4FE0-95B3-C3EF8EB34F0B}"/>
    <cellStyle name="Tickmark" xfId="294" xr:uid="{5DD7416D-6F09-435B-9C7A-A0C4EF55A558}"/>
    <cellStyle name="th" xfId="290" xr:uid="{1DF545D1-FB63-4349-AFE6-7CFEDA569912}"/>
    <cellStyle name="þ_x001d_ð¤_x000c_¯þ_x0014__x000d_¨þU_x0001_À_x0004_ _x0015__x000f__x0001_" xfId="291" xr:uid="{8AAAF68C-9BD0-4236-B16D-1732B446726B}"/>
    <cellStyle name="þ_x001d_ð¤_x000c_¯þ_x0014__x000d_¨þU_x0001_À_x0004_ _x0015__x000f__x0001__x0001_" xfId="292" xr:uid="{F5DF3317-25A7-41FF-9F4B-0E765F4EBD18}"/>
    <cellStyle name="þ_x001d_ðK_x000c_Fý_x001b__x000d_9ýU_x0001_Ð_x0008_¦)_x0007__x0001__x0001_" xfId="293" xr:uid="{EB4D92F2-11BF-46C5-B0E7-20C5531B869A}"/>
    <cellStyle name="viet" xfId="295" xr:uid="{6937475B-6261-4BFB-8B85-068176337901}"/>
    <cellStyle name="viet2" xfId="296" xr:uid="{46BC5F3D-6A38-4EA4-9450-CC6D96B040A8}"/>
    <cellStyle name="VN new romanNormal" xfId="297" xr:uid="{03E6C116-AD54-415B-A2BF-FFF506246757}"/>
    <cellStyle name="VN time new roman" xfId="298" xr:uid="{3B977A24-8C0E-4FB8-9878-30D88D9F7BDC}"/>
    <cellStyle name="vnbo" xfId="299" xr:uid="{33D1F0E8-EF2A-4B23-BDD4-C551BB8F845A}"/>
    <cellStyle name="vnbo 2" xfId="363" xr:uid="{77739F84-3C76-4F52-B08F-EB735C2CE9F7}"/>
    <cellStyle name="vntxt1" xfId="304" xr:uid="{498C5E92-1881-4868-8117-688048E85C97}"/>
    <cellStyle name="vntxt2" xfId="305" xr:uid="{0228841C-FC90-4730-91A3-BABC624FDA21}"/>
    <cellStyle name="vnhead1" xfId="300" xr:uid="{1CD80A44-BF11-4519-B268-569792C4395B}"/>
    <cellStyle name="vnhead1 2" xfId="364" xr:uid="{BD0C7C28-3D76-48D1-83E3-35B28885D3A2}"/>
    <cellStyle name="vnhead2" xfId="301" xr:uid="{94403B9E-1180-445E-95D9-848BE98B2676}"/>
    <cellStyle name="vnhead2 2" xfId="365" xr:uid="{BF650572-E323-4C9F-A9F5-6011FF583FA1}"/>
    <cellStyle name="vnhead3" xfId="302" xr:uid="{BF957BAB-E8FA-4D6F-92AB-7E8F3617F664}"/>
    <cellStyle name="vnhead3 2" xfId="366" xr:uid="{3A276889-51A5-4D00-939B-3D83D4BABEA5}"/>
    <cellStyle name="vnhead4" xfId="303" xr:uid="{60E07BB6-A502-44EB-BB1D-05AEA7E7EC86}"/>
    <cellStyle name="Währung [0]_68574_Materialbedarfsliste" xfId="306" xr:uid="{20AF35CA-6642-4AEF-B3BC-EB3A9200FBA3}"/>
    <cellStyle name="Währung_68574_Materialbedarfsliste" xfId="307" xr:uid="{341D8FCE-E956-4C02-B87D-C485B5FAC8EF}"/>
    <cellStyle name="xuan" xfId="308" xr:uid="{6CF9539D-B5C7-47A0-8580-0E3CEA8E6D1A}"/>
    <cellStyle name="เครื่องหมายสกุลเงิน [0]_FTC_OFFER" xfId="309" xr:uid="{CE957A4A-9682-4DB4-96A9-3298DAD76D89}"/>
    <cellStyle name="เครื่องหมายสกุลเงิน_FTC_OFFER" xfId="310" xr:uid="{9C0C09DD-8CE8-4833-8D1F-B9C398AE24F8}"/>
    <cellStyle name="ปกติ_FTC_OFFER" xfId="311" xr:uid="{2CB42E5F-FCBA-4F37-806C-B8ED8ABE9ED0}"/>
    <cellStyle name=" [0.00]_ Att. 1- Cover" xfId="312" xr:uid="{01ED5A39-A67E-4C55-B6F4-C4E5B424E5EA}"/>
    <cellStyle name="_ Att. 1- Cover" xfId="313" xr:uid="{6F98AF46-2257-48C3-A5A5-66B770D3007E}"/>
    <cellStyle name="?_ Att. 1- Cover" xfId="314" xr:uid="{7F4BBAA2-0E71-4EA5-85DC-22895C56C235}"/>
    <cellStyle name="똿뗦먛귟 [0.00]_PRODUCT DETAIL Q1" xfId="315" xr:uid="{2EB969B0-2317-4EB2-9D23-A02B40684BA8}"/>
    <cellStyle name="똿뗦먛귟_PRODUCT DETAIL Q1" xfId="316" xr:uid="{D9028108-E870-44F3-B4BC-939063086A11}"/>
    <cellStyle name="믅됞 [0.00]_PRODUCT DETAIL Q1" xfId="317" xr:uid="{11DF5BF8-81E7-4477-934E-32C60198739C}"/>
    <cellStyle name="믅됞_PRODUCT DETAIL Q1" xfId="318" xr:uid="{11313F4B-9866-40FD-9F80-EDADF301DEA9}"/>
    <cellStyle name="백분율_95" xfId="319" xr:uid="{A1723D93-3121-4AE7-8250-F1EA8B0BC4DB}"/>
    <cellStyle name="뷭?_BOOKSHIP" xfId="320" xr:uid="{C82344A8-F706-4577-90BC-58C60FFACCEA}"/>
    <cellStyle name="콤마 [ - 유형1" xfId="321" xr:uid="{647E9D51-043A-45E4-A0DE-7562884A89F9}"/>
    <cellStyle name="콤마 [ - 유형2" xfId="322" xr:uid="{DBF3588A-0924-4D1D-BD28-C5AE0268EFD6}"/>
    <cellStyle name="콤마 [ - 유형3" xfId="323" xr:uid="{ACBF0233-034D-41D3-B8BC-B836A5F9328F}"/>
    <cellStyle name="콤마 [ - 유형4" xfId="324" xr:uid="{0B8B0CA9-891F-4649-8635-E4E08912F2DC}"/>
    <cellStyle name="콤마 [ - 유형5" xfId="325" xr:uid="{8CF77051-1526-4E41-8CC8-4FEF35790803}"/>
    <cellStyle name="콤마 [ - 유형6" xfId="326" xr:uid="{2C1C0EE9-8C88-4D78-AD02-3A3555B6071F}"/>
    <cellStyle name="콤마 [ - 유형7" xfId="327" xr:uid="{9414967E-3967-4A08-B918-CD916176C27A}"/>
    <cellStyle name="콤마 [ - 유형8" xfId="328" xr:uid="{63EF5386-71A9-4B34-979C-09764F8F4BFF}"/>
    <cellStyle name="콤마 [0]_ 비목별 월별기술 " xfId="329" xr:uid="{5E7D2081-6E2D-4452-8D98-005406136FCD}"/>
    <cellStyle name="콤마_ 비목별 월별기술 " xfId="330" xr:uid="{BA933628-9CD8-48E7-BD68-684B5AF85D1F}"/>
    <cellStyle name="통화 [0]_1202" xfId="331" xr:uid="{9B2EE11B-DA55-4DD6-9EA8-74B818E7E799}"/>
    <cellStyle name="통화_1202" xfId="332" xr:uid="{03926049-BA0B-45DA-B0D4-83DE105F481F}"/>
    <cellStyle name="표준_(정보부문)월별인원계획" xfId="333" xr:uid="{BFF1EE59-CE46-4B79-B634-8451D6E3928B}"/>
    <cellStyle name="一般_00Q3902REV.1" xfId="334" xr:uid="{D40C5F98-92A7-44D8-8DD7-5317A6997815}"/>
    <cellStyle name="千分位[0]_00Q3902REV.1" xfId="335" xr:uid="{7C21BF14-8FFE-4169-9401-5961F637AEEA}"/>
    <cellStyle name="千分位_00Q3902REV.1" xfId="336" xr:uid="{889B765C-E1B4-41CA-99ED-019DE5680C9D}"/>
    <cellStyle name="桁区切り [0.00]_List-dwg瑩畳䵜楡" xfId="337" xr:uid="{070D4ABF-9DFE-48A8-9922-8FBDB2C43DCC}"/>
    <cellStyle name="桁区切り_List-dwgist-" xfId="338" xr:uid="{77ED4DDC-C95F-4A99-AAA4-EAF7AB6D70C9}"/>
    <cellStyle name="標準_Form" xfId="339" xr:uid="{E33109EB-39B7-4F0F-B089-15BB96AF4F09}"/>
    <cellStyle name="貨幣 [0]_00Q3902REV.1" xfId="340" xr:uid="{77A28CAF-BC7C-4F6C-894B-D443B4E01AC7}"/>
    <cellStyle name="貨幣[0]_BRE" xfId="341" xr:uid="{72E1AF70-FD92-405A-AA1E-B62F61675F93}"/>
    <cellStyle name="貨幣_00Q3902REV.1" xfId="342" xr:uid="{713FD7B7-32B9-452A-9D11-2DA56BC95357}"/>
    <cellStyle name="通貨 [0.00]_List-dwgwg" xfId="343" xr:uid="{79F3E435-5113-45BE-88F2-F65B90FE2EB6}"/>
    <cellStyle name="通貨_List-dwgis" xfId="344" xr:uid="{A0ABBC84-6C76-4E0A-822D-96216DE0B4D2}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%3f%3f%3f\97%3f%3f%3f%3f%3f2%3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se%20Cost\Base%20Cost%20Monthly%20Report\Authorized%20Personnel%20Only\DR4%20ADI%20Template%20Detail-'004Q-Kore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AppData\Roaming\Microsoft\Excel\VGTM_31122013_2%20(version%20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udit\TongHopBC\v2012\2012_AFS_AASC_v2012.09.25_RC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inkPad\AppData\Local\Microsoft\Windows\Temporary%20Internet%20Files\Content.Outlook\Q7AM8SEZ\2014_AFS_AASC_v2.xls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&#45236;&#47928;&#49436;\97&#44208;&#49328;&#48372;&#44256;&#49436;2&#444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inkPad\AppData\Local\Microsoft\Windows\Temporary%20Internet%20Files\Content.Outlook\Q7AM8SEZ\3.03%20tong%20hop%20cac%20sai%20sot%20va%20bao%20cao%20sau%20dieu%20chin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37;&#51221;\&#47588;&#44033;&#51088;&#47308;\Windows\TEMP\&#49849;&#51652;&#45824;&#4934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amaafpw00007\dat\DOCUME~1\THEDBOCH\LOCALS~1\Temp\Dec03pa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40;&#54805;\MY%20DOCUMENTS\&#54861;&#48372;&#54924;&#51032;\&#49849;&#51652;&#45824;&#4934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ERVER\Users\DELL\AppData\Local\Microsoft\Windows\INetCache\Content.Outlook\PIXR3AGW\windows\TEMP\&#54861;&#48372;&#54924;&#51032;\&#49849;&#51652;&#45824;&#4934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ERVER\Users\DELL\AppData\Local\Microsoft\Windows\INetCache\Content.Outlook\PIXR3AGW\&#49569;&#49888;&#44288;'s&#47928;&#49436;\&#44277;&#47928;&#50577;&#49885;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HKH%20SXKD%20OCH%202025.xlsx" TargetMode="External"/><Relationship Id="rId1" Type="http://schemas.openxmlformats.org/officeDocument/2006/relationships/externalLinkPath" Target="/.shortcut-targets-by-id/1rKnSCB8IfCvBmWw2Mz77ayWrHQNTOqxC/Ke%20hoach%20kinh%20doanh%20Cong%20ty%20me/KHKD%202026/Bc%20Power%20BI/THKH%20SXKD%20O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&lt;?&gt;"/>
      <sheetName val="Source"/>
      <sheetName val="Guidelines"/>
      <sheetName val="door"/>
      <sheetName val="____&lt;_&gt;"/>
      <sheetName val="DATA"/>
      <sheetName val="Master"/>
      <sheetName val="lists"/>
      <sheetName val="CC list"/>
      <sheetName val="Vendor List"/>
      <sheetName val="OPEX Location (2)"/>
      <sheetName val="_______"/>
      <sheetName val="Adm97"/>
      <sheetName val="PD Cause"/>
      <sheetName val="JUL"/>
      <sheetName val="financials"/>
      <sheetName val="주주명부&lt;끝&gt;"/>
      <sheetName val="3-13 Summary"/>
      <sheetName val="MIP actuals 2002"/>
      <sheetName val="3Q Orders"/>
      <sheetName val="4Q Orders"/>
      <sheetName val="LIFO FIFO"/>
      <sheetName val="WIPROGE"/>
      <sheetName val="2. Region Summary - Est"/>
      <sheetName val="group-match  "/>
      <sheetName val="STORE"/>
      <sheetName val="TGSO"/>
      <sheetName val="Inventory List (2)"/>
      <sheetName val="CSH"/>
      <sheetName val="input KPI's"/>
      <sheetName val="StdMarginRegQtr"/>
      <sheetName val="TTCH"/>
      <sheetName val="TSM"/>
      <sheetName val="TOTAL"/>
      <sheetName val="QTR4"/>
      <sheetName val="QTR2"/>
      <sheetName val="FX"/>
      <sheetName val="Severity"/>
      <sheetName val="General Assumptions and Summary"/>
      <sheetName val="Hyperion"/>
      <sheetName val="prdtyform"/>
      <sheetName val="CoFe III"/>
      <sheetName val="2001 even"/>
      <sheetName val="Walk Data."/>
      <sheetName val="Variances"/>
      <sheetName val="chart 1"/>
      <sheetName val="GL Summary"/>
      <sheetName val="MODEL SHEET"/>
      <sheetName val="MFG"/>
      <sheetName val="Sheet1"/>
      <sheetName val="Sheet3"/>
      <sheetName val="Supply Chain"/>
      <sheetName val="Sheet2"/>
      <sheetName val="Macro1"/>
      <sheetName val="calendar"/>
      <sheetName val="97?????2?"/>
      <sheetName val="ACT_NSB_CY"/>
      <sheetName val="CY Head"/>
      <sheetName val="Cash PY"/>
      <sheetName val="References"/>
      <sheetName val="general"/>
      <sheetName val="GM EPS Model"/>
      <sheetName val="Modality Summary"/>
      <sheetName val="DR95-Complement"/>
      <sheetName val="Cash CY"/>
      <sheetName val="OP_PRICE"/>
      <sheetName val="TPM Tot"/>
      <sheetName val="Reference"/>
      <sheetName val="PE"/>
      <sheetName val=" BC SUMMARY 2002"/>
      <sheetName val="cashflow"/>
      <sheetName val="Region Summary - PY"/>
      <sheetName val="Eur_sub2 "/>
      <sheetName val="Canada"/>
      <sheetName val="Business Summary Reports"/>
      <sheetName val="Total by Function QSplit"/>
      <sheetName val="MIP codes 2002"/>
      <sheetName val="uk"/>
      <sheetName val="Yields"/>
      <sheetName val="Measures"/>
      <sheetName val="ref"/>
      <sheetName val="OP"/>
      <sheetName val="Assumptions"/>
      <sheetName val="Other"/>
      <sheetName val="print_macro"/>
      <sheetName val="QTR1"/>
      <sheetName val="QTR3"/>
      <sheetName val="NSB_EST2"/>
      <sheetName val="Details"/>
      <sheetName val="R&amp;D"/>
      <sheetName val="Consolidation"/>
      <sheetName val="Salary"/>
      <sheetName val="inventory snapshot 20020313"/>
      <sheetName val="2003 Ops"/>
      <sheetName val="Wenger Summary"/>
      <sheetName val="JUN"/>
      <sheetName val="MENU.XLS"/>
      <sheetName val="DEC"/>
      <sheetName val="FX Rates - BS"/>
      <sheetName val="Stepped Pmts"/>
      <sheetName val="ACT_NSB_PYOP"/>
      <sheetName val="pitch"/>
      <sheetName val="3Q Ops"/>
      <sheetName val="New Microsoft Excel Worksheet"/>
      <sheetName val="NOV8-MCATS"/>
      <sheetName val="ACT_PRC_CY"/>
      <sheetName val="condensed p&amp;l"/>
      <sheetName val="DSO"/>
      <sheetName val="관세"/>
      <sheetName val="AUG"/>
      <sheetName val="1077"/>
      <sheetName val="IM"/>
      <sheetName val="SVSalesToCM"/>
      <sheetName val="OCT"/>
      <sheetName val="Inventory details"/>
      <sheetName val="Input Page"/>
      <sheetName val="Coous"/>
      <sheetName val="OP_NSB"/>
      <sheetName val="Lamer"/>
      <sheetName val="Input_Financial "/>
      <sheetName val="Mat'l Pareto"/>
      <sheetName val="lookup"/>
      <sheetName val="Cash OP"/>
      <sheetName val="IOPlan"/>
      <sheetName val="Final HU TB Jun 2002"/>
      <sheetName val="Overview"/>
      <sheetName val="Europe"/>
      <sheetName val="Plans"/>
      <sheetName val="SEPT"/>
      <sheetName val="CoFe I"/>
      <sheetName val="MCOE Final Slow"/>
      <sheetName val="Material Var"/>
      <sheetName val="ZT"/>
      <sheetName val="Backing 1 - fx rates"/>
      <sheetName val="LCGRAPH"/>
      <sheetName val="APR"/>
      <sheetName val="Productivity"/>
      <sheetName val="MAR"/>
      <sheetName val="CUSTOMERDETAILS"/>
      <sheetName val="MAY"/>
      <sheetName val="Sales-CM"/>
      <sheetName val="Health Plans"/>
      <sheetName val="94 Rev"/>
      <sheetName val="Net Var"/>
      <sheetName val="Working Capital"/>
      <sheetName val="Asiasrcing"/>
      <sheetName val="SUMbyGEMS"/>
      <sheetName val="£Summary"/>
      <sheetName val="4Q Ops"/>
      <sheetName val="TPM00"/>
      <sheetName val="unusuals"/>
      <sheetName val="Planl_Unit Cost"/>
      <sheetName val="Sales to OM-Mod"/>
      <sheetName val="Dropdown list"/>
      <sheetName val="3"/>
      <sheetName val="FW"/>
      <sheetName val="Sales to OM-Segment"/>
      <sheetName val="JPN NUC"/>
      <sheetName val="WALKS"/>
      <sheetName val="3-13_Summary"/>
      <sheetName val="Walk_Data_"/>
      <sheetName val="input_KPI's"/>
      <sheetName val="PD_Cause"/>
      <sheetName val="Sales_to_OM-Mod"/>
      <sheetName val="MIP_actuals_2002"/>
      <sheetName val="3Q_Orders"/>
      <sheetName val="4Q_Orders"/>
      <sheetName val="LIFO_FIFO"/>
      <sheetName val="2__Region_Summary_-_Est"/>
      <sheetName val="group-match__"/>
      <sheetName val="Inventory_List_(2)"/>
      <sheetName val="General_Assumptions_and_Summary"/>
      <sheetName val="CoFe_III"/>
      <sheetName val="2001_even"/>
      <sheetName val="chart_1"/>
      <sheetName val="GL_Summary"/>
      <sheetName val="MODEL_SHEET"/>
      <sheetName val="Supply_Chain"/>
      <sheetName val="CY_Head"/>
      <sheetName val="Cash_PY"/>
      <sheetName val="GM_EPS_Model"/>
      <sheetName val="Modality_Summary"/>
      <sheetName val="Cash_CY"/>
      <sheetName val="TPM_Tot"/>
      <sheetName val="_BC_SUMMARY_2002"/>
      <sheetName val="Region_Summary_-_PY"/>
      <sheetName val="Eur_sub2_"/>
      <sheetName val="Business_Summary_Reports"/>
      <sheetName val="Total_by_Function_QSplit"/>
      <sheetName val="MIP_codes_2002"/>
      <sheetName val="inventory_snapshot_20020313"/>
      <sheetName val="2003_Ops"/>
      <sheetName val="Wenger_Summary"/>
      <sheetName val="MENU_XLS"/>
      <sheetName val="FX_Rates_-_BS"/>
      <sheetName val="Stepped_Pmts"/>
      <sheetName val="3Q_Ops"/>
      <sheetName val="New_Microsoft_Excel_Worksheet"/>
      <sheetName val="condensed_p&amp;l"/>
      <sheetName val="Inventory_details"/>
      <sheetName val="Input_Page"/>
      <sheetName val="Input_Financial_"/>
      <sheetName val="Mat'l_Pareto"/>
      <sheetName val="Cash_OP"/>
      <sheetName val="Final_HU_TB_Jun_2002"/>
      <sheetName val="CoFe_I"/>
      <sheetName val="MCOE_Final_Slow"/>
      <sheetName val="Material_Var"/>
      <sheetName val="Backing_1_-_fx_rates"/>
      <sheetName val="Health_Plans"/>
      <sheetName val="94_Rev"/>
      <sheetName val="Net_Var"/>
      <sheetName val="Working_Capital"/>
      <sheetName val="4Q_Ops"/>
      <sheetName val="Planl_Unit_Cost"/>
      <sheetName val="Fiscal Week"/>
      <sheetName val="NUC WALKS"/>
      <sheetName val="PD Code"/>
      <sheetName val="List..only LCS"/>
      <sheetName val="CHS"/>
      <sheetName val="Report 1"/>
      <sheetName val="2003 Orders"/>
      <sheetName val="Param"/>
      <sheetName val="Drop Box"/>
      <sheetName val="Input reference"/>
      <sheetName val="Cost Center Detail"/>
      <sheetName val="Q1"/>
      <sheetName val="Summary New"/>
      <sheetName val="Interventional Reconciliation"/>
      <sheetName val="On Hand"/>
      <sheetName val="S2_40m_by mth"/>
      <sheetName val="STATICV"/>
      <sheetName val="FGMS"/>
      <sheetName val="US"/>
      <sheetName val="PRC_EST2"/>
      <sheetName val="ACT_MIX_CY"/>
      <sheetName val="ACT_NSB_PY"/>
      <sheetName val="NSB_EST1"/>
      <sheetName val="ACLSHL96"/>
      <sheetName val="PRC_EST1"/>
      <sheetName val="Sales_CM"/>
      <sheetName val="Sales to CM Summary"/>
      <sheetName val="Managers Database"/>
      <sheetName val="1403"/>
      <sheetName val="TPRD"/>
      <sheetName val="Page 1"/>
      <sheetName val="summary"/>
      <sheetName val="TY CM Walk"/>
      <sheetName val="Stock Chart"/>
      <sheetName val="Map"/>
      <sheetName val="의원"/>
      <sheetName val="SCOS0302"/>
      <sheetName val="profitability"/>
      <sheetName val="Classification"/>
      <sheetName val="Mapping"/>
      <sheetName val="Root cause of PD "/>
      <sheetName val="LOV"/>
      <sheetName val="MS Numbers"/>
      <sheetName val="Definitions"/>
      <sheetName val="Root cause of PD"/>
      <sheetName val="PD_Cause1"/>
      <sheetName val="3-13_Summary1"/>
      <sheetName val="MIP_actuals_20021"/>
      <sheetName val="3Q_Orders1"/>
      <sheetName val="4Q_Orders1"/>
      <sheetName val="LIFO_FIFO1"/>
      <sheetName val="2__Region_Summary_-_Est1"/>
      <sheetName val="group-match__1"/>
      <sheetName val="Inventory_List_(2)1"/>
      <sheetName val="input_KPI's1"/>
      <sheetName val="General_Assumptions_and_Summar1"/>
      <sheetName val="CoFe_III1"/>
      <sheetName val="2001_even1"/>
      <sheetName val="Walk_Data_1"/>
      <sheetName val="chart_11"/>
      <sheetName val="GL_Summary1"/>
      <sheetName val="MODEL_SHEET1"/>
      <sheetName val="Supply_Chain1"/>
      <sheetName val="CY_Head1"/>
      <sheetName val="Cash_PY1"/>
      <sheetName val="GM_EPS_Model1"/>
      <sheetName val="Modality_Summary1"/>
      <sheetName val="Cash_CY1"/>
      <sheetName val="TPM_Tot1"/>
      <sheetName val="_BC_SUMMARY_20021"/>
      <sheetName val="Region_Summary_-_PY1"/>
      <sheetName val="Eur_sub2_1"/>
      <sheetName val="Business_Summary_Reports1"/>
      <sheetName val="Total_by_Function_QSplit1"/>
      <sheetName val="MIP_codes_20021"/>
      <sheetName val="inventory_snapshot_200203131"/>
      <sheetName val="2003_Ops1"/>
      <sheetName val="Wenger_Summary1"/>
      <sheetName val="MENU_XLS1"/>
      <sheetName val="FX_Rates_-_BS1"/>
      <sheetName val="Stepped_Pmts1"/>
      <sheetName val="3Q_Ops1"/>
      <sheetName val="New_Microsoft_Excel_Worksheet1"/>
      <sheetName val="condensed_p&amp;l1"/>
      <sheetName val="Inventory_details1"/>
      <sheetName val="Input_Page1"/>
      <sheetName val="Input_Financial_1"/>
      <sheetName val="Mat'l_Pareto1"/>
      <sheetName val="Cash_OP1"/>
      <sheetName val="Final_HU_TB_Jun_20021"/>
      <sheetName val="CoFe_I1"/>
      <sheetName val="MCOE_Final_Slow1"/>
      <sheetName val="Material_Var1"/>
      <sheetName val="Backing_1_-_fx_rates1"/>
      <sheetName val="Health_Plans1"/>
      <sheetName val="94_Rev1"/>
      <sheetName val="Net_Var1"/>
      <sheetName val="Working_Capital1"/>
      <sheetName val="4Q_Ops1"/>
      <sheetName val="Planl_Unit_Cost1"/>
      <sheetName val="Sales_to_OM-Mod1"/>
      <sheetName val="Dropdown_list"/>
      <sheetName val="Sales_to_OM-Segment"/>
      <sheetName val="JPN_NUC"/>
      <sheetName val="Fiscal_Week"/>
      <sheetName val="NUC_WALKS"/>
      <sheetName val="PD_Code"/>
      <sheetName val="List__only_LCS"/>
      <sheetName val="Report_1"/>
      <sheetName val="2003_Orders"/>
      <sheetName val="Drop_Box"/>
      <sheetName val="Input_reference"/>
      <sheetName val="Cost_Center_Detail"/>
      <sheetName val="Summary_New"/>
      <sheetName val="Interventional_Reconciliation"/>
      <sheetName val="On_Hand"/>
      <sheetName val="S2_40m_by_mth"/>
      <sheetName val="Sales_to_CM_Summary"/>
      <sheetName val="Managers_Database"/>
      <sheetName val="Page_1"/>
      <sheetName val="TY_CM_Walk"/>
      <sheetName val="Stock_Chart"/>
      <sheetName val="Root_cause_of_PD_"/>
      <sheetName val="JE10310X"/>
      <sheetName val="Deal Wise reference list"/>
      <sheetName val="SSP Code"/>
      <sheetName val="refer"/>
      <sheetName val="Field Definitions List"/>
      <sheetName val="Selection"/>
      <sheetName val="??????"/>
      <sheetName val="do not delete"/>
      <sheetName val="Page 2"/>
      <sheetName val="Validate data"/>
      <sheetName val="Business Priorities"/>
      <sheetName val="Dealers mapping"/>
      <sheetName val="Format"/>
      <sheetName val="2Q Outlook"/>
      <sheetName val="Dealers selection"/>
      <sheetName val="Instruction"/>
      <sheetName val="Index"/>
      <sheetName val="OPEX Location"/>
      <sheetName val="INFO"/>
      <sheetName val="Personal Data"/>
      <sheetName val="Province Code"/>
      <sheetName val="Parameters"/>
      <sheetName val="2RIDMX"/>
    </sheetNames>
    <sheetDataSet>
      <sheetData sheetId="0" refreshError="1">
        <row r="5">
          <cell r="A5" t="str">
            <v>GENERAL ELECTRIC CO.</v>
          </cell>
        </row>
        <row r="7">
          <cell r="A7" t="str">
            <v>?  ?  ?  ?(?)</v>
          </cell>
        </row>
        <row r="8">
          <cell r="A8" t="str">
            <v>?  ?  ?  ?(?)</v>
          </cell>
        </row>
        <row r="9">
          <cell r="A9" t="str">
            <v>?? ?? ??(?)</v>
          </cell>
        </row>
        <row r="10">
          <cell r="A10" t="str">
            <v>?      ?      ?</v>
          </cell>
        </row>
        <row r="11">
          <cell r="A11" t="str">
            <v>?      ?      ?</v>
          </cell>
        </row>
        <row r="12">
          <cell r="A12" t="str">
            <v>?      ?      ?</v>
          </cell>
        </row>
        <row r="13">
          <cell r="A13" t="str">
            <v>?      ?      ?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A5" t="str">
            <v>GENERAL ELECTRIC CO.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A1"/>
      <sheetName val="Cover"/>
      <sheetName val="Journal Entries"/>
      <sheetName val="Full DR4"/>
      <sheetName val="P&amp;L Summary Page"/>
      <sheetName val="Equipment Page"/>
      <sheetName val="Service Page"/>
      <sheetName val="RTS Distribution"/>
      <sheetName val="Program Distribution"/>
      <sheetName val="Restruct. Distribution"/>
      <sheetName val="대리점리스트"/>
      <sheetName val="PD Cause"/>
      <sheetName val="주주명부&lt;끝&gt;"/>
      <sheetName val="X ray data"/>
      <sheetName val="Sheet1"/>
      <sheetName val="Report"/>
      <sheetName val="financials"/>
      <sheetName val="4Q Orders"/>
      <sheetName val="LIFO FIFO"/>
      <sheetName val="WIPROGE"/>
      <sheetName val="2. Region Summary - Est"/>
      <sheetName val="group-match  "/>
      <sheetName val="STORE"/>
      <sheetName val="TGSO"/>
      <sheetName val="Inventory List (2)"/>
      <sheetName val="3-13 Summary"/>
      <sheetName val="CSH"/>
      <sheetName val="StdMarginRegQtr"/>
      <sheetName val="TSM"/>
      <sheetName val="QTR4"/>
      <sheetName val="QTR2"/>
      <sheetName val="FX"/>
      <sheetName val="Severity"/>
      <sheetName val="General Assumptions and Summary"/>
      <sheetName val="prdtyform"/>
      <sheetName val="Walk Data."/>
      <sheetName val="Variances"/>
      <sheetName val="GL Summary"/>
      <sheetName val="MODEL SHEET"/>
      <sheetName val="MFG"/>
      <sheetName val="Sheet3"/>
      <sheetName val="Supply Chain"/>
      <sheetName val="Sheet2"/>
      <sheetName val="calendar"/>
      <sheetName val="DR4 ADI Template Detail-'004Q-K"/>
      <sheetName val="ACT_NSB_CY"/>
      <sheetName val="Cash PY"/>
      <sheetName val="References"/>
      <sheetName val="TPM Tot"/>
      <sheetName val="Reference"/>
      <sheetName val=" BC SUMMARY 2002"/>
      <sheetName val="Eur_sub2 "/>
      <sheetName val="Canada"/>
      <sheetName val="ref"/>
      <sheetName val="Data"/>
      <sheetName val="Assumptions"/>
      <sheetName val="Other"/>
      <sheetName val="QTR1"/>
      <sheetName val="QTR3"/>
      <sheetName val="Details"/>
      <sheetName val="R&amp;D"/>
      <sheetName val="Consolidation"/>
      <sheetName val="Salary"/>
      <sheetName val="inventory snapshot 20020313"/>
      <sheetName val="JUN"/>
      <sheetName val="DEC"/>
      <sheetName val="FX Rates - BS"/>
      <sheetName val="Stepped Pmts"/>
      <sheetName val="ACT_NSB_PYOP"/>
      <sheetName val="pitch"/>
      <sheetName val="3Q Ops"/>
      <sheetName val="condensed p&amp;l"/>
      <sheetName val="DSO"/>
      <sheetName val="AUG"/>
      <sheetName val="IM"/>
      <sheetName val="SVSalesToCM"/>
      <sheetName val="OCT"/>
      <sheetName val="Inventory details"/>
      <sheetName val="OP_NSB"/>
      <sheetName val="Lamer"/>
      <sheetName val="Input_Financial "/>
      <sheetName val="Mat'l Pareto"/>
      <sheetName val="lookup"/>
      <sheetName val="IOPlan"/>
      <sheetName val="Final HU TB Jun 2002"/>
      <sheetName val="Overview"/>
      <sheetName val="Europe"/>
      <sheetName val="Total by Function QSplit"/>
      <sheetName val="MIP actuals 2002"/>
      <sheetName val="SEPT"/>
      <sheetName val="Material Var"/>
      <sheetName val="Productivity"/>
      <sheetName val="Health Plans"/>
      <sheetName val="94 Rev"/>
      <sheetName val="Net Var"/>
      <sheetName val="Working Capital"/>
      <sheetName val="Asiasrcing"/>
      <sheetName val="SUMbyGEMS"/>
      <sheetName val="£Summary"/>
      <sheetName val="4Q Ops"/>
      <sheetName val="TPM00"/>
      <sheetName val="unusuals"/>
      <sheetName val="????&lt;?&gt;"/>
      <sheetName val="BC Summary"/>
      <sheetName val="CQ P&amp;L"/>
      <sheetName val="NUC WALKS"/>
      <sheetName val="WALKS"/>
      <sheetName val="JPN NUC"/>
      <sheetName val="List..only LCS"/>
      <sheetName val="상급종합개인병원보건소"/>
      <sheetName val="LCGRAPH"/>
      <sheetName val="Categories"/>
      <sheetName val="Fiscal Week"/>
      <sheetName val="#REF"/>
      <sheetName val="1403"/>
      <sheetName val="cashflow"/>
      <sheetName val="2003 Ops"/>
      <sheetName val="Sales_CM"/>
      <sheetName val="TY CM Walk"/>
      <sheetName val="DR95_Complement"/>
      <sheetName val="prdty"/>
      <sheetName val="관세"/>
      <sheetName val="Modality Summary"/>
      <sheetName val="Sales to CM Summary"/>
      <sheetName val="2003 Orders"/>
      <sheetName val="3Q Orders"/>
      <sheetName val="US"/>
      <sheetName val="Input"/>
      <sheetName val="의원"/>
      <sheetName val="Sales to OM-Mod"/>
      <sheetName val="Walk Graph Support 1"/>
      <sheetName val="各種選択肢"/>
      <sheetName val="Income 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kecot"/>
      <sheetName val="XL4Poppy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PT ksat"/>
      <sheetName val="LUONG KS"/>
      <sheetName val="May"/>
      <sheetName val="heso"/>
      <sheetName val="DG"/>
      <sheetName val="갑지"/>
      <sheetName val="6823_PS_17002"/>
      <sheetName val="PU_ITALY_2"/>
      <sheetName val="PTDG"/>
      <sheetName val="THDT"/>
      <sheetName val="VAT LIEU"/>
      <sheetName val="DTCT"/>
      <sheetName val="LKVL-CK-HT-GD1"/>
      <sheetName val="TONGKE-HT"/>
      <sheetName val="XD4Poppy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ranh hong"/>
      <sheetName val="TT35"/>
      <sheetName val="NhanCong"/>
      <sheetName val="THCP Lap dat"/>
      <sheetName val="THCP xay dung"/>
      <sheetName val="Don gia XD"/>
      <sheetName val="Ts"/>
      <sheetName val="Du toan XD"/>
      <sheetName val="NC+MTC"/>
      <sheetName val="DATA"/>
      <sheetName val="luong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M_Sheet"/>
      <sheetName val="Thong_tin"/>
      <sheetName val="Danh_muc"/>
      <sheetName val="DM"/>
      <sheetName val="Sai_sotKDC"/>
      <sheetName val="Dieu_chinh"/>
      <sheetName val="Chi_tiet"/>
      <sheetName val="Soat_xet"/>
      <sheetName val="Tong_hop"/>
      <sheetName val="BiaBC"/>
      <sheetName val="BCBGD"/>
      <sheetName val="BCKT"/>
      <sheetName val="Cac Y kien"/>
      <sheetName val="CDKT"/>
      <sheetName val="KQKD"/>
      <sheetName val="LCGT"/>
      <sheetName val="LCTT"/>
      <sheetName val="Thuyet_minh"/>
      <sheetName val="TM_TSCDHH"/>
      <sheetName val="TM_TSCDVH"/>
      <sheetName val="TM_TSCDTTC"/>
      <sheetName val="TM_VCSH"/>
      <sheetName val="TM_BCBPKD"/>
      <sheetName val="Trong_yeu"/>
      <sheetName val="TM_BCBPDL"/>
      <sheetName val="LCBTCP"/>
      <sheetName val="KN_CPBQ"/>
      <sheetName val="KT_CPBQ"/>
      <sheetName val="CT_LCGT"/>
      <sheetName val="QTTNDN"/>
      <sheetName val="Doi_chieu"/>
      <sheetName val="Phan_tich"/>
      <sheetName val="TM_ChenhLechTK"/>
      <sheetName val="TM_ChenhLechCT"/>
      <sheetName val="Income Statement"/>
      <sheetName val="Shareholders' Equity"/>
      <sheetName val="VGTM_31122013_2 (version 2)"/>
      <sheetName val="Sheet1"/>
    </sheetNames>
    <sheetDataSet>
      <sheetData sheetId="0" refreshError="1"/>
      <sheetData sheetId="1" refreshError="1"/>
      <sheetData sheetId="2" refreshError="1">
        <row r="11">
          <cell r="D11" t="str">
            <v>Tầng 1 - Tòa nhà Viglacera - Số 1 Đại lộ Thăng Long - Hà Nội</v>
          </cell>
        </row>
        <row r="68">
          <cell r="D68" t="str">
            <v>PMT</v>
          </cell>
        </row>
      </sheetData>
      <sheetData sheetId="3" refreshError="1"/>
      <sheetData sheetId="4" refreshError="1">
        <row r="3">
          <cell r="B3" t="str">
            <v>OK</v>
          </cell>
          <cell r="M3" t="str">
            <v>BTDC</v>
          </cell>
        </row>
        <row r="4">
          <cell r="B4" t="str">
            <v>Refuse</v>
          </cell>
          <cell r="M4" t="str">
            <v>BTTH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F7" t="str">
            <v>Dv01</v>
          </cell>
          <cell r="G7" t="str">
            <v>Dv02</v>
          </cell>
          <cell r="H7" t="str">
            <v>Dv03</v>
          </cell>
          <cell r="I7" t="str">
            <v>Dv04</v>
          </cell>
          <cell r="J7" t="str">
            <v>Dv05</v>
          </cell>
          <cell r="K7" t="str">
            <v>Dv06</v>
          </cell>
          <cell r="L7" t="str">
            <v>Dv07</v>
          </cell>
          <cell r="M7" t="str">
            <v>MT_31/12/2013</v>
          </cell>
          <cell r="N7" t="str">
            <v>MN_31/12/2013</v>
          </cell>
          <cell r="O7" t="str">
            <v>VP_31/12/2013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M_Sheet"/>
      <sheetName val="Thong_tin"/>
      <sheetName val="Danh_muc"/>
      <sheetName val="DM"/>
      <sheetName val="Dieu_chinh"/>
      <sheetName val="Chi_tiet"/>
      <sheetName val="Sai_sotKDC"/>
      <sheetName val="Soat_xet"/>
      <sheetName val="Tong_hop"/>
      <sheetName val="BiaBC"/>
      <sheetName val="BCBGD"/>
      <sheetName val="BCKT"/>
      <sheetName val="CDKT"/>
      <sheetName val="KQKD"/>
      <sheetName val="LCTT"/>
      <sheetName val="LCGT"/>
      <sheetName val="LCBTCP"/>
      <sheetName val="KN_CPBQ"/>
      <sheetName val="KT_CPBQ"/>
      <sheetName val="Du_lieu"/>
      <sheetName val="CT_LCTT"/>
      <sheetName val="CT_LCGT"/>
      <sheetName val="QTTNDN"/>
      <sheetName val="Doi_chieu"/>
      <sheetName val="Thuyet_minh"/>
      <sheetName val="TM_TSCDHH"/>
      <sheetName val="TM_TSCDTTC"/>
      <sheetName val="TM_TSCDVH"/>
      <sheetName val="TM_VCSH"/>
      <sheetName val="TM_BCBPKD"/>
      <sheetName val="TM_BCBPDL"/>
      <sheetName val="Phan_tich"/>
      <sheetName val="Trong_yeu"/>
      <sheetName val="TM_ChenhLechTK"/>
      <sheetName val="TM_ChenhLechCT"/>
      <sheetName val="Sheet1"/>
      <sheetName val="Sheet2"/>
      <sheetName val="Sheet3"/>
      <sheetName val="Infor"/>
      <sheetName val="DETAIL CODE"/>
      <sheetName val="ADJ"/>
      <sheetName val="OBS"/>
      <sheetName val="BS "/>
      <sheetName val="PL"/>
      <sheetName val="CFS"/>
      <sheetName val="3. Cash"/>
      <sheetName val="4. Cho vay"/>
      <sheetName val="5. Receivables"/>
      <sheetName val="6. Other receivables"/>
      <sheetName val="7. Inventory"/>
      <sheetName val="8. Tangible FA"/>
      <sheetName val="9. Intangible FA"/>
      <sheetName val="10.Prepaid "/>
      <sheetName val="11. Loans"/>
      <sheetName val="12. Payables"/>
      <sheetName val="13. Tax"/>
      <sheetName val="14. Accrued Expense"/>
      <sheetName val="15. O Equity"/>
      <sheetName val="15.1 Thuyet minh VCSH"/>
      <sheetName val="17. Revenue"/>
      <sheetName val="18. COGS"/>
      <sheetName val="19. Financial income"/>
      <sheetName val="20. Financial expense"/>
      <sheetName val="21. Selling expense"/>
      <sheetName val="22.G&amp;A"/>
      <sheetName val="23. Corporate Income Tax (2)"/>
      <sheetName val="24. Related parties"/>
      <sheetName val="5.1 TM DT TCNH"/>
      <sheetName val="6. Nợ xấu"/>
      <sheetName val="8. ST Prepaid"/>
      <sheetName val="8. CP XDCBDD"/>
      <sheetName val="9. Other assets"/>
      <sheetName val="10. ĐT TCDH"/>
      <sheetName val="9. BĐSĐT"/>
      <sheetName val="10.1 TM DT TCDH"/>
      <sheetName val="Loans-Appendix"/>
      <sheetName val="17. Provision"/>
      <sheetName val="16. Other liability"/>
      <sheetName val="19. Deferred tax "/>
      <sheetName val="13. CIP"/>
      <sheetName val="18. LT Loans  "/>
      <sheetName val="16. Other ST liability"/>
      <sheetName val="19.TS Ngoại bang 1"/>
      <sheetName val="19.TS Ngoai bang 2"/>
      <sheetName val="24.Other incomes"/>
      <sheetName val="25. Other expenses"/>
      <sheetName val="36. RM1"/>
      <sheetName val="36. RM2"/>
      <sheetName val="29.TTBS"/>
      <sheetName val="31.SLSS (Viet)"/>
      <sheetName val="31.SLSS (ENG)"/>
      <sheetName val="PL PV"/>
    </sheetNames>
    <sheetDataSet>
      <sheetData sheetId="0" refreshError="1"/>
      <sheetData sheetId="1" refreshError="1"/>
      <sheetData sheetId="2" refreshError="1">
        <row r="9">
          <cell r="D9" t="str">
            <v>Công ty Cổ phần ABC</v>
          </cell>
        </row>
        <row r="15">
          <cell r="D15" t="str">
            <v>Năm 2012</v>
          </cell>
        </row>
        <row r="16">
          <cell r="D16" t="str">
            <v>Năm 2011</v>
          </cell>
        </row>
      </sheetData>
      <sheetData sheetId="3" refreshError="1"/>
      <sheetData sheetId="4" refreshError="1">
        <row r="2">
          <cell r="D2" t="str">
            <v>MaTK</v>
          </cell>
        </row>
        <row r="3">
          <cell r="D3" t="str">
            <v>1111</v>
          </cell>
          <cell r="F3" t="str">
            <v>x</v>
          </cell>
        </row>
        <row r="4">
          <cell r="B4" t="str">
            <v>Refuse</v>
          </cell>
          <cell r="D4" t="str">
            <v>1112</v>
          </cell>
          <cell r="F4" t="str">
            <v>S</v>
          </cell>
        </row>
        <row r="5">
          <cell r="D5" t="str">
            <v>1113</v>
          </cell>
          <cell r="F5" t="str">
            <v>o</v>
          </cell>
        </row>
        <row r="6">
          <cell r="D6" t="str">
            <v>1121</v>
          </cell>
          <cell r="F6" t="str">
            <v>.</v>
          </cell>
        </row>
        <row r="7">
          <cell r="D7" t="str">
            <v>1122</v>
          </cell>
        </row>
        <row r="8">
          <cell r="D8" t="str">
            <v>1123</v>
          </cell>
        </row>
        <row r="9">
          <cell r="D9" t="str">
            <v>1131</v>
          </cell>
        </row>
        <row r="10">
          <cell r="D10" t="str">
            <v>1132</v>
          </cell>
        </row>
        <row r="11">
          <cell r="D11" t="str">
            <v>1211</v>
          </cell>
        </row>
        <row r="12">
          <cell r="D12" t="str">
            <v>1212</v>
          </cell>
        </row>
        <row r="13">
          <cell r="D13" t="str">
            <v>121t</v>
          </cell>
        </row>
        <row r="14">
          <cell r="D14" t="str">
            <v>1281</v>
          </cell>
        </row>
        <row r="15">
          <cell r="D15" t="str">
            <v>1288</v>
          </cell>
        </row>
        <row r="16">
          <cell r="D16" t="str">
            <v>128t</v>
          </cell>
        </row>
        <row r="17">
          <cell r="D17" t="str">
            <v>129</v>
          </cell>
        </row>
        <row r="18">
          <cell r="D18" t="str">
            <v>131an</v>
          </cell>
        </row>
        <row r="19">
          <cell r="D19" t="str">
            <v>131ad</v>
          </cell>
        </row>
        <row r="20">
          <cell r="D20" t="str">
            <v>131bn</v>
          </cell>
        </row>
        <row r="21">
          <cell r="D21" t="str">
            <v>131bd</v>
          </cell>
        </row>
        <row r="22">
          <cell r="D22" t="str">
            <v>1331a</v>
          </cell>
        </row>
        <row r="23">
          <cell r="D23" t="str">
            <v>1331b</v>
          </cell>
        </row>
        <row r="24">
          <cell r="D24" t="str">
            <v>1332a</v>
          </cell>
        </row>
        <row r="25">
          <cell r="D25" t="str">
            <v>1332b</v>
          </cell>
        </row>
        <row r="26">
          <cell r="D26" t="str">
            <v>1361ad</v>
          </cell>
        </row>
        <row r="27">
          <cell r="D27" t="str">
            <v>1361bd</v>
          </cell>
        </row>
        <row r="28">
          <cell r="D28" t="str">
            <v>1368ad1</v>
          </cell>
        </row>
        <row r="29">
          <cell r="D29" t="str">
            <v>1368bd1</v>
          </cell>
        </row>
        <row r="30">
          <cell r="D30" t="str">
            <v>1368an</v>
          </cell>
        </row>
        <row r="31">
          <cell r="D31" t="str">
            <v>1368bn</v>
          </cell>
        </row>
        <row r="32">
          <cell r="D32" t="str">
            <v>1368ad</v>
          </cell>
        </row>
        <row r="33">
          <cell r="D33" t="str">
            <v>1368bd</v>
          </cell>
        </row>
        <row r="34">
          <cell r="D34" t="str">
            <v>1381</v>
          </cell>
        </row>
        <row r="35">
          <cell r="D35" t="str">
            <v>1385an</v>
          </cell>
        </row>
        <row r="36">
          <cell r="D36" t="str">
            <v>1385ad</v>
          </cell>
        </row>
        <row r="37">
          <cell r="D37" t="str">
            <v>1385bn</v>
          </cell>
        </row>
        <row r="38">
          <cell r="D38" t="str">
            <v>1385bd</v>
          </cell>
        </row>
        <row r="39">
          <cell r="D39" t="str">
            <v>1388an</v>
          </cell>
        </row>
        <row r="40">
          <cell r="D40" t="str">
            <v>1388bn</v>
          </cell>
        </row>
        <row r="41">
          <cell r="D41" t="str">
            <v>1388a1</v>
          </cell>
        </row>
        <row r="42">
          <cell r="D42" t="str">
            <v>1388b1</v>
          </cell>
        </row>
        <row r="43">
          <cell r="D43" t="str">
            <v>1388ad</v>
          </cell>
        </row>
        <row r="44">
          <cell r="D44" t="str">
            <v>1388ad1</v>
          </cell>
        </row>
        <row r="45">
          <cell r="D45" t="str">
            <v>1388ad2</v>
          </cell>
        </row>
        <row r="46">
          <cell r="D46" t="str">
            <v>1388bd</v>
          </cell>
        </row>
        <row r="47">
          <cell r="D47" t="str">
            <v>139n</v>
          </cell>
        </row>
        <row r="48">
          <cell r="D48" t="str">
            <v>139d</v>
          </cell>
        </row>
        <row r="49">
          <cell r="D49" t="str">
            <v>141a</v>
          </cell>
        </row>
        <row r="50">
          <cell r="D50" t="str">
            <v>141b</v>
          </cell>
        </row>
        <row r="51">
          <cell r="D51" t="str">
            <v>142</v>
          </cell>
        </row>
        <row r="52">
          <cell r="D52" t="str">
            <v>144</v>
          </cell>
        </row>
        <row r="53">
          <cell r="D53" t="str">
            <v>151</v>
          </cell>
        </row>
        <row r="54">
          <cell r="D54" t="str">
            <v>152</v>
          </cell>
        </row>
        <row r="55">
          <cell r="D55" t="str">
            <v>153</v>
          </cell>
        </row>
        <row r="56">
          <cell r="D56" t="str">
            <v>154</v>
          </cell>
        </row>
        <row r="57">
          <cell r="D57" t="str">
            <v>155</v>
          </cell>
        </row>
        <row r="58">
          <cell r="D58" t="str">
            <v>1561</v>
          </cell>
        </row>
        <row r="59">
          <cell r="D59" t="str">
            <v>1562</v>
          </cell>
        </row>
        <row r="60">
          <cell r="D60" t="str">
            <v>1567</v>
          </cell>
        </row>
        <row r="61">
          <cell r="D61" t="str">
            <v>157</v>
          </cell>
        </row>
        <row r="62">
          <cell r="D62" t="str">
            <v>158</v>
          </cell>
        </row>
        <row r="63">
          <cell r="D63" t="str">
            <v>159</v>
          </cell>
        </row>
        <row r="64">
          <cell r="D64" t="str">
            <v>1611</v>
          </cell>
        </row>
        <row r="65">
          <cell r="D65" t="str">
            <v>1612</v>
          </cell>
        </row>
        <row r="66">
          <cell r="D66" t="str">
            <v>171a</v>
          </cell>
        </row>
        <row r="67">
          <cell r="D67" t="str">
            <v>171b</v>
          </cell>
        </row>
        <row r="68">
          <cell r="D68" t="str">
            <v>2111</v>
          </cell>
        </row>
        <row r="69">
          <cell r="D69" t="str">
            <v>2112</v>
          </cell>
        </row>
        <row r="70">
          <cell r="D70" t="str">
            <v>2113</v>
          </cell>
        </row>
        <row r="71">
          <cell r="D71" t="str">
            <v>2114</v>
          </cell>
        </row>
        <row r="72">
          <cell r="D72" t="str">
            <v>2115</v>
          </cell>
        </row>
        <row r="73">
          <cell r="D73" t="str">
            <v>2118</v>
          </cell>
        </row>
        <row r="74">
          <cell r="D74" t="str">
            <v>2121</v>
          </cell>
        </row>
        <row r="75">
          <cell r="D75" t="str">
            <v>2122</v>
          </cell>
        </row>
        <row r="76">
          <cell r="D76" t="str">
            <v>2123</v>
          </cell>
        </row>
        <row r="77">
          <cell r="D77" t="str">
            <v>2124</v>
          </cell>
        </row>
        <row r="78">
          <cell r="D78" t="str">
            <v>2125</v>
          </cell>
        </row>
        <row r="79">
          <cell r="D79" t="str">
            <v>2128</v>
          </cell>
        </row>
        <row r="80">
          <cell r="D80" t="str">
            <v>2131</v>
          </cell>
        </row>
        <row r="81">
          <cell r="D81" t="str">
            <v>2132</v>
          </cell>
        </row>
        <row r="82">
          <cell r="D82" t="str">
            <v>2133</v>
          </cell>
        </row>
        <row r="83">
          <cell r="D83" t="str">
            <v>2134</v>
          </cell>
        </row>
        <row r="84">
          <cell r="D84" t="str">
            <v>2135</v>
          </cell>
        </row>
        <row r="85">
          <cell r="D85" t="str">
            <v>2136</v>
          </cell>
        </row>
        <row r="86">
          <cell r="D86" t="str">
            <v>2138</v>
          </cell>
        </row>
        <row r="87">
          <cell r="D87" t="str">
            <v>21411</v>
          </cell>
        </row>
        <row r="88">
          <cell r="D88" t="str">
            <v>21412</v>
          </cell>
        </row>
        <row r="89">
          <cell r="D89" t="str">
            <v>21413</v>
          </cell>
        </row>
        <row r="90">
          <cell r="D90" t="str">
            <v>21414</v>
          </cell>
        </row>
        <row r="91">
          <cell r="D91" t="str">
            <v>21415</v>
          </cell>
        </row>
        <row r="92">
          <cell r="D92" t="str">
            <v>21418</v>
          </cell>
        </row>
        <row r="93">
          <cell r="D93" t="str">
            <v>21421</v>
          </cell>
        </row>
        <row r="94">
          <cell r="D94" t="str">
            <v>21422</v>
          </cell>
        </row>
        <row r="95">
          <cell r="D95" t="str">
            <v>21423</v>
          </cell>
        </row>
        <row r="96">
          <cell r="D96" t="str">
            <v>21424</v>
          </cell>
        </row>
        <row r="97">
          <cell r="D97" t="str">
            <v>21425</v>
          </cell>
        </row>
        <row r="98">
          <cell r="D98" t="str">
            <v>21428</v>
          </cell>
        </row>
        <row r="99">
          <cell r="D99" t="str">
            <v>21431</v>
          </cell>
        </row>
        <row r="100">
          <cell r="D100" t="str">
            <v>21432</v>
          </cell>
        </row>
        <row r="101">
          <cell r="D101" t="str">
            <v>21433</v>
          </cell>
        </row>
        <row r="102">
          <cell r="D102" t="str">
            <v>21434</v>
          </cell>
        </row>
        <row r="103">
          <cell r="D103" t="str">
            <v>21435</v>
          </cell>
        </row>
        <row r="104">
          <cell r="D104" t="str">
            <v>21436</v>
          </cell>
        </row>
        <row r="105">
          <cell r="D105" t="str">
            <v>21438</v>
          </cell>
        </row>
        <row r="106">
          <cell r="D106" t="str">
            <v>2147</v>
          </cell>
        </row>
        <row r="107">
          <cell r="D107" t="str">
            <v>217</v>
          </cell>
        </row>
        <row r="108">
          <cell r="D108" t="str">
            <v>221</v>
          </cell>
        </row>
        <row r="109">
          <cell r="D109" t="str">
            <v>222</v>
          </cell>
        </row>
        <row r="110">
          <cell r="D110" t="str">
            <v>223</v>
          </cell>
        </row>
        <row r="111">
          <cell r="D111" t="str">
            <v>2281</v>
          </cell>
        </row>
        <row r="112">
          <cell r="D112" t="str">
            <v>22821</v>
          </cell>
        </row>
        <row r="113">
          <cell r="D113" t="str">
            <v>22822</v>
          </cell>
        </row>
        <row r="114">
          <cell r="D114" t="str">
            <v>22881</v>
          </cell>
        </row>
        <row r="115">
          <cell r="D115" t="str">
            <v>22882</v>
          </cell>
        </row>
        <row r="116">
          <cell r="D116" t="str">
            <v>229</v>
          </cell>
        </row>
        <row r="117">
          <cell r="D117" t="str">
            <v>2411</v>
          </cell>
        </row>
        <row r="118">
          <cell r="D118" t="str">
            <v>2412</v>
          </cell>
        </row>
        <row r="119">
          <cell r="D119" t="str">
            <v>2413</v>
          </cell>
        </row>
        <row r="120">
          <cell r="D120" t="str">
            <v>2421</v>
          </cell>
        </row>
        <row r="121">
          <cell r="D121" t="str">
            <v>2422</v>
          </cell>
        </row>
        <row r="122">
          <cell r="D122" t="str">
            <v>2423</v>
          </cell>
        </row>
        <row r="123">
          <cell r="D123" t="str">
            <v>2424</v>
          </cell>
        </row>
        <row r="124">
          <cell r="D124" t="str">
            <v>2425</v>
          </cell>
        </row>
        <row r="125">
          <cell r="D125" t="str">
            <v>2426</v>
          </cell>
        </row>
        <row r="126">
          <cell r="D126" t="str">
            <v>2427</v>
          </cell>
        </row>
        <row r="127">
          <cell r="D127" t="str">
            <v>2428</v>
          </cell>
        </row>
        <row r="128">
          <cell r="D128" t="str">
            <v>2429</v>
          </cell>
        </row>
        <row r="129">
          <cell r="D129" t="str">
            <v>2420</v>
          </cell>
        </row>
        <row r="130">
          <cell r="D130" t="str">
            <v>2431</v>
          </cell>
        </row>
        <row r="131">
          <cell r="D131" t="str">
            <v>2432</v>
          </cell>
        </row>
        <row r="132">
          <cell r="D132" t="str">
            <v>2433</v>
          </cell>
        </row>
        <row r="133">
          <cell r="D133" t="str">
            <v>2434</v>
          </cell>
        </row>
        <row r="134">
          <cell r="D134" t="str">
            <v>244</v>
          </cell>
        </row>
        <row r="135">
          <cell r="D135" t="str">
            <v>3111</v>
          </cell>
        </row>
        <row r="136">
          <cell r="D136" t="str">
            <v>3112</v>
          </cell>
        </row>
        <row r="137">
          <cell r="D137" t="str">
            <v>315</v>
          </cell>
        </row>
        <row r="138">
          <cell r="D138" t="str">
            <v>331an</v>
          </cell>
        </row>
        <row r="139">
          <cell r="D139" t="str">
            <v>331ad</v>
          </cell>
        </row>
        <row r="140">
          <cell r="D140" t="str">
            <v>331bn</v>
          </cell>
        </row>
        <row r="141">
          <cell r="D141" t="str">
            <v>331bd</v>
          </cell>
        </row>
        <row r="142">
          <cell r="D142" t="str">
            <v>33311a</v>
          </cell>
        </row>
        <row r="143">
          <cell r="D143" t="str">
            <v>33311b</v>
          </cell>
        </row>
        <row r="144">
          <cell r="D144" t="str">
            <v>33312a</v>
          </cell>
        </row>
        <row r="145">
          <cell r="D145" t="str">
            <v>33312b</v>
          </cell>
        </row>
        <row r="146">
          <cell r="D146" t="str">
            <v>3332a</v>
          </cell>
        </row>
        <row r="147">
          <cell r="D147" t="str">
            <v>3332b</v>
          </cell>
        </row>
        <row r="148">
          <cell r="D148" t="str">
            <v>3333a</v>
          </cell>
        </row>
        <row r="149">
          <cell r="D149" t="str">
            <v>3333b</v>
          </cell>
        </row>
        <row r="150">
          <cell r="D150" t="str">
            <v>3334a</v>
          </cell>
        </row>
        <row r="151">
          <cell r="D151" t="str">
            <v>3334b</v>
          </cell>
        </row>
        <row r="152">
          <cell r="D152" t="str">
            <v>3335a</v>
          </cell>
        </row>
        <row r="153">
          <cell r="D153" t="str">
            <v>3335b</v>
          </cell>
        </row>
        <row r="154">
          <cell r="D154" t="str">
            <v>3336a</v>
          </cell>
        </row>
        <row r="155">
          <cell r="D155" t="str">
            <v>3336b</v>
          </cell>
        </row>
        <row r="156">
          <cell r="D156" t="str">
            <v>3337a</v>
          </cell>
        </row>
        <row r="157">
          <cell r="D157" t="str">
            <v>3337b</v>
          </cell>
        </row>
        <row r="158">
          <cell r="D158" t="str">
            <v>3338a</v>
          </cell>
        </row>
        <row r="159">
          <cell r="D159" t="str">
            <v>3338b</v>
          </cell>
        </row>
        <row r="160">
          <cell r="D160" t="str">
            <v>3339a1</v>
          </cell>
        </row>
        <row r="161">
          <cell r="D161" t="str">
            <v>3339a2</v>
          </cell>
        </row>
        <row r="162">
          <cell r="D162" t="str">
            <v>3339b1</v>
          </cell>
        </row>
        <row r="163">
          <cell r="D163" t="str">
            <v>3339b2</v>
          </cell>
        </row>
        <row r="164">
          <cell r="D164" t="str">
            <v>3341a</v>
          </cell>
        </row>
        <row r="165">
          <cell r="D165" t="str">
            <v>3341b</v>
          </cell>
        </row>
        <row r="166">
          <cell r="D166" t="str">
            <v>3348a</v>
          </cell>
        </row>
        <row r="167">
          <cell r="D167" t="str">
            <v>3348b</v>
          </cell>
        </row>
        <row r="168">
          <cell r="D168" t="str">
            <v>3351</v>
          </cell>
        </row>
        <row r="169">
          <cell r="D169" t="str">
            <v>3352</v>
          </cell>
        </row>
        <row r="170">
          <cell r="D170" t="str">
            <v>3353</v>
          </cell>
        </row>
        <row r="171">
          <cell r="D171" t="str">
            <v>3354</v>
          </cell>
        </row>
        <row r="172">
          <cell r="D172" t="str">
            <v>3355</v>
          </cell>
        </row>
        <row r="173">
          <cell r="D173" t="str">
            <v>336an</v>
          </cell>
        </row>
        <row r="174">
          <cell r="D174" t="str">
            <v>336bn</v>
          </cell>
        </row>
        <row r="175">
          <cell r="D175" t="str">
            <v>336ad1</v>
          </cell>
        </row>
        <row r="176">
          <cell r="D176" t="str">
            <v>336ad2</v>
          </cell>
        </row>
        <row r="177">
          <cell r="D177" t="str">
            <v>336ad3</v>
          </cell>
        </row>
        <row r="178">
          <cell r="D178" t="str">
            <v>336bd1</v>
          </cell>
        </row>
        <row r="179">
          <cell r="D179" t="str">
            <v>336bd2</v>
          </cell>
        </row>
        <row r="180">
          <cell r="D180" t="str">
            <v>336bd3</v>
          </cell>
        </row>
        <row r="181">
          <cell r="D181" t="str">
            <v>337a</v>
          </cell>
        </row>
        <row r="182">
          <cell r="D182" t="str">
            <v>337b</v>
          </cell>
        </row>
        <row r="183">
          <cell r="D183" t="str">
            <v>3381</v>
          </cell>
        </row>
        <row r="184">
          <cell r="D184" t="str">
            <v>3382a</v>
          </cell>
        </row>
        <row r="185">
          <cell r="D185" t="str">
            <v>3382b</v>
          </cell>
        </row>
        <row r="186">
          <cell r="D186" t="str">
            <v>3383a</v>
          </cell>
        </row>
        <row r="187">
          <cell r="D187" t="str">
            <v>3383b</v>
          </cell>
        </row>
        <row r="188">
          <cell r="D188" t="str">
            <v>3384a</v>
          </cell>
        </row>
        <row r="189">
          <cell r="D189" t="str">
            <v>3384b</v>
          </cell>
        </row>
        <row r="190">
          <cell r="D190" t="str">
            <v>3385a</v>
          </cell>
        </row>
        <row r="191">
          <cell r="D191" t="str">
            <v>3385b</v>
          </cell>
        </row>
        <row r="192">
          <cell r="D192" t="str">
            <v>3386a</v>
          </cell>
        </row>
        <row r="193">
          <cell r="D193" t="str">
            <v>3386b</v>
          </cell>
        </row>
        <row r="194">
          <cell r="D194" t="str">
            <v>3387an</v>
          </cell>
        </row>
        <row r="195">
          <cell r="D195" t="str">
            <v>3387ad</v>
          </cell>
        </row>
        <row r="196">
          <cell r="D196" t="str">
            <v>3387b</v>
          </cell>
        </row>
        <row r="197">
          <cell r="D197" t="str">
            <v>3388a1</v>
          </cell>
        </row>
        <row r="198">
          <cell r="D198" t="str">
            <v>3388b1</v>
          </cell>
        </row>
        <row r="199">
          <cell r="D199" t="str">
            <v>3388a2</v>
          </cell>
        </row>
        <row r="200">
          <cell r="D200" t="str">
            <v>3388b2</v>
          </cell>
        </row>
        <row r="201">
          <cell r="D201" t="str">
            <v>3388an</v>
          </cell>
        </row>
        <row r="202">
          <cell r="D202" t="str">
            <v>3388ad</v>
          </cell>
        </row>
        <row r="203">
          <cell r="D203" t="str">
            <v>3388bn</v>
          </cell>
        </row>
        <row r="204">
          <cell r="D204" t="str">
            <v>3388bd</v>
          </cell>
        </row>
        <row r="205">
          <cell r="D205" t="str">
            <v>3389a</v>
          </cell>
        </row>
        <row r="206">
          <cell r="D206" t="str">
            <v>3389b</v>
          </cell>
        </row>
        <row r="207">
          <cell r="D207" t="str">
            <v>3411</v>
          </cell>
        </row>
        <row r="208">
          <cell r="D208" t="str">
            <v>3412</v>
          </cell>
        </row>
        <row r="209">
          <cell r="D209" t="str">
            <v>3421</v>
          </cell>
        </row>
        <row r="210">
          <cell r="D210" t="str">
            <v>3422</v>
          </cell>
        </row>
        <row r="211">
          <cell r="D211" t="str">
            <v>3431</v>
          </cell>
        </row>
        <row r="212">
          <cell r="D212" t="str">
            <v>3432</v>
          </cell>
        </row>
        <row r="213">
          <cell r="D213" t="str">
            <v>3433</v>
          </cell>
        </row>
        <row r="214">
          <cell r="D214" t="str">
            <v>344</v>
          </cell>
        </row>
        <row r="215">
          <cell r="D215" t="str">
            <v>3471</v>
          </cell>
        </row>
        <row r="216">
          <cell r="D216" t="str">
            <v>3472</v>
          </cell>
        </row>
        <row r="217">
          <cell r="D217" t="str">
            <v>351</v>
          </cell>
        </row>
        <row r="218">
          <cell r="D218" t="str">
            <v>352n</v>
          </cell>
        </row>
        <row r="219">
          <cell r="D219" t="str">
            <v>352d</v>
          </cell>
        </row>
        <row r="220">
          <cell r="D220" t="str">
            <v>3531</v>
          </cell>
        </row>
        <row r="221">
          <cell r="D221" t="str">
            <v>3532</v>
          </cell>
        </row>
        <row r="222">
          <cell r="D222" t="str">
            <v>3533</v>
          </cell>
        </row>
        <row r="223">
          <cell r="D223" t="str">
            <v>3534</v>
          </cell>
        </row>
        <row r="224">
          <cell r="D224" t="str">
            <v>3561</v>
          </cell>
        </row>
        <row r="225">
          <cell r="D225" t="str">
            <v>3562</v>
          </cell>
        </row>
        <row r="226">
          <cell r="D226" t="str">
            <v>4111</v>
          </cell>
        </row>
        <row r="227">
          <cell r="D227" t="str">
            <v>4112</v>
          </cell>
        </row>
        <row r="228">
          <cell r="D228" t="str">
            <v>4118</v>
          </cell>
        </row>
        <row r="229">
          <cell r="D229" t="str">
            <v>412</v>
          </cell>
        </row>
        <row r="230">
          <cell r="D230" t="str">
            <v>4131</v>
          </cell>
        </row>
        <row r="231">
          <cell r="D231" t="str">
            <v>4132</v>
          </cell>
        </row>
        <row r="232">
          <cell r="D232" t="str">
            <v>414</v>
          </cell>
        </row>
        <row r="233">
          <cell r="D233" t="str">
            <v>415</v>
          </cell>
        </row>
        <row r="234">
          <cell r="D234" t="str">
            <v>417</v>
          </cell>
        </row>
        <row r="235">
          <cell r="D235" t="str">
            <v>418</v>
          </cell>
        </row>
        <row r="236">
          <cell r="D236" t="str">
            <v>419</v>
          </cell>
        </row>
        <row r="237">
          <cell r="D237" t="str">
            <v>4211</v>
          </cell>
        </row>
        <row r="238">
          <cell r="D238" t="str">
            <v>4212</v>
          </cell>
        </row>
        <row r="239">
          <cell r="D239" t="str">
            <v>441</v>
          </cell>
        </row>
        <row r="240">
          <cell r="D240" t="str">
            <v>4611</v>
          </cell>
        </row>
        <row r="241">
          <cell r="D241" t="str">
            <v>4612</v>
          </cell>
        </row>
        <row r="242">
          <cell r="D242" t="str">
            <v>466</v>
          </cell>
        </row>
        <row r="243">
          <cell r="D243" t="str">
            <v>5111</v>
          </cell>
        </row>
        <row r="244">
          <cell r="D244" t="str">
            <v>5112</v>
          </cell>
        </row>
        <row r="245">
          <cell r="D245" t="str">
            <v>5113</v>
          </cell>
        </row>
        <row r="246">
          <cell r="D246" t="str">
            <v>5114</v>
          </cell>
        </row>
        <row r="247">
          <cell r="D247" t="str">
            <v>5117</v>
          </cell>
        </row>
        <row r="248">
          <cell r="D248" t="str">
            <v>5118</v>
          </cell>
        </row>
        <row r="249">
          <cell r="D249" t="str">
            <v>5119</v>
          </cell>
        </row>
        <row r="250">
          <cell r="D250" t="str">
            <v>5121</v>
          </cell>
        </row>
        <row r="251">
          <cell r="D251" t="str">
            <v>5122</v>
          </cell>
        </row>
        <row r="252">
          <cell r="D252" t="str">
            <v>5123</v>
          </cell>
        </row>
        <row r="253">
          <cell r="D253" t="str">
            <v>5124</v>
          </cell>
        </row>
        <row r="254">
          <cell r="D254" t="str">
            <v>5127</v>
          </cell>
        </row>
        <row r="255">
          <cell r="D255" t="str">
            <v>5128</v>
          </cell>
        </row>
        <row r="256">
          <cell r="D256" t="str">
            <v>5129</v>
          </cell>
        </row>
        <row r="257">
          <cell r="D257" t="str">
            <v>5151</v>
          </cell>
        </row>
        <row r="258">
          <cell r="D258" t="str">
            <v>5152</v>
          </cell>
        </row>
        <row r="259">
          <cell r="D259" t="str">
            <v>5153</v>
          </cell>
        </row>
        <row r="260">
          <cell r="D260" t="str">
            <v>5154</v>
          </cell>
        </row>
        <row r="261">
          <cell r="D261" t="str">
            <v>5155</v>
          </cell>
        </row>
        <row r="262">
          <cell r="D262" t="str">
            <v>5156</v>
          </cell>
        </row>
        <row r="263">
          <cell r="D263" t="str">
            <v>5157</v>
          </cell>
        </row>
        <row r="264">
          <cell r="D264" t="str">
            <v>5158</v>
          </cell>
        </row>
        <row r="265">
          <cell r="D265" t="str">
            <v>521</v>
          </cell>
        </row>
        <row r="266">
          <cell r="D266" t="str">
            <v>531</v>
          </cell>
        </row>
        <row r="267">
          <cell r="D267" t="str">
            <v>532</v>
          </cell>
        </row>
        <row r="268">
          <cell r="D268" t="str">
            <v>VAT</v>
          </cell>
        </row>
        <row r="269">
          <cell r="D269" t="str">
            <v>TTDB</v>
          </cell>
        </row>
        <row r="270">
          <cell r="D270" t="str">
            <v>TXK</v>
          </cell>
        </row>
        <row r="271">
          <cell r="D271" t="str">
            <v>621</v>
          </cell>
        </row>
        <row r="272">
          <cell r="D272" t="str">
            <v>622</v>
          </cell>
        </row>
        <row r="273">
          <cell r="D273" t="str">
            <v>623</v>
          </cell>
        </row>
        <row r="274">
          <cell r="D274" t="str">
            <v>6231</v>
          </cell>
        </row>
        <row r="275">
          <cell r="D275" t="str">
            <v>6232</v>
          </cell>
        </row>
        <row r="276">
          <cell r="D276" t="str">
            <v>6233</v>
          </cell>
        </row>
        <row r="277">
          <cell r="D277" t="str">
            <v>6234</v>
          </cell>
        </row>
        <row r="278">
          <cell r="D278" t="str">
            <v>6237</v>
          </cell>
        </row>
        <row r="279">
          <cell r="D279" t="str">
            <v>6238</v>
          </cell>
        </row>
        <row r="280">
          <cell r="D280" t="str">
            <v>627</v>
          </cell>
        </row>
        <row r="281">
          <cell r="D281" t="str">
            <v>6271</v>
          </cell>
        </row>
        <row r="282">
          <cell r="D282" t="str">
            <v>6272</v>
          </cell>
        </row>
        <row r="283">
          <cell r="D283" t="str">
            <v>6273</v>
          </cell>
        </row>
        <row r="284">
          <cell r="D284" t="str">
            <v>6274</v>
          </cell>
        </row>
        <row r="285">
          <cell r="D285" t="str">
            <v>6277</v>
          </cell>
        </row>
        <row r="286">
          <cell r="D286" t="str">
            <v>6278</v>
          </cell>
        </row>
        <row r="287">
          <cell r="D287" t="str">
            <v>6321</v>
          </cell>
        </row>
        <row r="288">
          <cell r="D288" t="str">
            <v>6322</v>
          </cell>
        </row>
        <row r="289">
          <cell r="D289" t="str">
            <v>6323</v>
          </cell>
        </row>
        <row r="290">
          <cell r="D290" t="str">
            <v>6324</v>
          </cell>
        </row>
        <row r="291">
          <cell r="D291" t="str">
            <v>6325</v>
          </cell>
        </row>
        <row r="292">
          <cell r="D292" t="str">
            <v>6326</v>
          </cell>
        </row>
        <row r="293">
          <cell r="D293" t="str">
            <v>6327</v>
          </cell>
        </row>
        <row r="294">
          <cell r="D294" t="str">
            <v>6328</v>
          </cell>
        </row>
        <row r="295">
          <cell r="D295" t="str">
            <v>6329</v>
          </cell>
        </row>
        <row r="296">
          <cell r="D296" t="str">
            <v>6351</v>
          </cell>
        </row>
        <row r="297">
          <cell r="D297" t="str">
            <v>6352</v>
          </cell>
        </row>
        <row r="298">
          <cell r="D298" t="str">
            <v>6353</v>
          </cell>
        </row>
        <row r="299">
          <cell r="D299" t="str">
            <v>6354</v>
          </cell>
        </row>
        <row r="300">
          <cell r="D300" t="str">
            <v>6355</v>
          </cell>
        </row>
        <row r="301">
          <cell r="D301" t="str">
            <v>6356</v>
          </cell>
        </row>
        <row r="302">
          <cell r="D302" t="str">
            <v>6357</v>
          </cell>
        </row>
        <row r="303">
          <cell r="D303" t="str">
            <v>6358</v>
          </cell>
        </row>
        <row r="304">
          <cell r="D304" t="str">
            <v>641</v>
          </cell>
        </row>
        <row r="305">
          <cell r="D305" t="str">
            <v>6411</v>
          </cell>
        </row>
        <row r="306">
          <cell r="D306" t="str">
            <v>6412</v>
          </cell>
        </row>
        <row r="307">
          <cell r="D307" t="str">
            <v>6413</v>
          </cell>
        </row>
        <row r="308">
          <cell r="D308" t="str">
            <v>6414</v>
          </cell>
        </row>
        <row r="309">
          <cell r="D309" t="str">
            <v>6415</v>
          </cell>
        </row>
        <row r="310">
          <cell r="D310" t="str">
            <v>6417</v>
          </cell>
        </row>
        <row r="311">
          <cell r="D311" t="str">
            <v>6418</v>
          </cell>
        </row>
        <row r="312">
          <cell r="D312" t="str">
            <v>642</v>
          </cell>
        </row>
        <row r="313">
          <cell r="D313" t="str">
            <v>6421</v>
          </cell>
        </row>
        <row r="314">
          <cell r="D314" t="str">
            <v>6422</v>
          </cell>
        </row>
        <row r="315">
          <cell r="D315" t="str">
            <v>6423</v>
          </cell>
        </row>
        <row r="316">
          <cell r="D316" t="str">
            <v>6424</v>
          </cell>
        </row>
        <row r="317">
          <cell r="D317" t="str">
            <v>6425</v>
          </cell>
        </row>
        <row r="318">
          <cell r="D318" t="str">
            <v>6426</v>
          </cell>
        </row>
        <row r="319">
          <cell r="D319" t="str">
            <v>6427</v>
          </cell>
        </row>
        <row r="320">
          <cell r="D320" t="str">
            <v>6428</v>
          </cell>
        </row>
        <row r="321">
          <cell r="D321" t="str">
            <v>711</v>
          </cell>
        </row>
        <row r="322">
          <cell r="D322" t="str">
            <v>811</v>
          </cell>
        </row>
        <row r="323">
          <cell r="D323" t="str">
            <v>82111</v>
          </cell>
        </row>
        <row r="324">
          <cell r="D324" t="str">
            <v>82112</v>
          </cell>
        </row>
        <row r="325">
          <cell r="D325" t="str">
            <v>82121</v>
          </cell>
        </row>
        <row r="326">
          <cell r="D326" t="str">
            <v>82122</v>
          </cell>
        </row>
        <row r="327">
          <cell r="D327" t="str">
            <v>82123</v>
          </cell>
        </row>
        <row r="328">
          <cell r="D328" t="str">
            <v>82124</v>
          </cell>
        </row>
        <row r="329">
          <cell r="D329" t="str">
            <v>82125</v>
          </cell>
        </row>
        <row r="330">
          <cell r="D330" t="str">
            <v>911</v>
          </cell>
        </row>
        <row r="331">
          <cell r="D331" t="str">
            <v>001</v>
          </cell>
        </row>
        <row r="332">
          <cell r="D332" t="str">
            <v>002</v>
          </cell>
        </row>
        <row r="333">
          <cell r="D333" t="str">
            <v>003</v>
          </cell>
        </row>
        <row r="334">
          <cell r="D334" t="str">
            <v>004</v>
          </cell>
        </row>
        <row r="335">
          <cell r="D335" t="str">
            <v>007</v>
          </cell>
        </row>
        <row r="336">
          <cell r="D336" t="str">
            <v>0071</v>
          </cell>
        </row>
        <row r="337">
          <cell r="D337" t="str">
            <v>0072</v>
          </cell>
        </row>
        <row r="338">
          <cell r="D338" t="str">
            <v>0073</v>
          </cell>
        </row>
        <row r="339">
          <cell r="D339" t="str">
            <v>0074</v>
          </cell>
        </row>
        <row r="340">
          <cell r="D340" t="str">
            <v>0075</v>
          </cell>
        </row>
        <row r="341">
          <cell r="D341" t="str">
            <v>0076</v>
          </cell>
        </row>
        <row r="342">
          <cell r="D342" t="str">
            <v>008</v>
          </cell>
        </row>
        <row r="343">
          <cell r="D343" t="str">
            <v>LC01</v>
          </cell>
        </row>
        <row r="344">
          <cell r="D344" t="str">
            <v>LC02</v>
          </cell>
        </row>
        <row r="345">
          <cell r="D345" t="str">
            <v>LC03</v>
          </cell>
        </row>
        <row r="346">
          <cell r="D346" t="str">
            <v>LC04</v>
          </cell>
        </row>
        <row r="347">
          <cell r="D347" t="str">
            <v>LC05</v>
          </cell>
        </row>
        <row r="348">
          <cell r="D348" t="str">
            <v>LC06</v>
          </cell>
        </row>
        <row r="349">
          <cell r="D349" t="str">
            <v>LC07</v>
          </cell>
        </row>
        <row r="350">
          <cell r="D350" t="str">
            <v>LC21</v>
          </cell>
        </row>
        <row r="351">
          <cell r="D351" t="str">
            <v>LC22</v>
          </cell>
        </row>
        <row r="352">
          <cell r="D352" t="str">
            <v>LC23</v>
          </cell>
        </row>
        <row r="353">
          <cell r="D353" t="str">
            <v>LC24</v>
          </cell>
        </row>
        <row r="354">
          <cell r="D354" t="str">
            <v>LC25</v>
          </cell>
        </row>
        <row r="355">
          <cell r="D355" t="str">
            <v>LC26</v>
          </cell>
        </row>
        <row r="356">
          <cell r="D356" t="str">
            <v>LC27</v>
          </cell>
        </row>
        <row r="357">
          <cell r="D357" t="str">
            <v>LC31</v>
          </cell>
        </row>
        <row r="358">
          <cell r="D358" t="str">
            <v>LC32</v>
          </cell>
        </row>
        <row r="359">
          <cell r="D359" t="str">
            <v>LC33</v>
          </cell>
        </row>
        <row r="360">
          <cell r="D360" t="str">
            <v>LC34</v>
          </cell>
        </row>
        <row r="361">
          <cell r="D361" t="str">
            <v>LC35</v>
          </cell>
        </row>
        <row r="362">
          <cell r="D362" t="str">
            <v>LC36</v>
          </cell>
        </row>
        <row r="363">
          <cell r="D363" t="str">
            <v>LC61</v>
          </cell>
        </row>
      </sheetData>
      <sheetData sheetId="5" refreshError="1">
        <row r="10">
          <cell r="N10">
            <v>0</v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</row>
        <row r="11">
          <cell r="N11">
            <v>0</v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</row>
        <row r="12">
          <cell r="N12">
            <v>0</v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</row>
        <row r="13">
          <cell r="N13">
            <v>0</v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</row>
        <row r="14">
          <cell r="N14">
            <v>0</v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</row>
        <row r="15">
          <cell r="N15">
            <v>0</v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</row>
        <row r="16">
          <cell r="N16">
            <v>0</v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</row>
        <row r="17">
          <cell r="N17">
            <v>0</v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</row>
        <row r="18">
          <cell r="N18">
            <v>0</v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</row>
        <row r="19">
          <cell r="N19">
            <v>0</v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</row>
        <row r="20">
          <cell r="N20">
            <v>0</v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</row>
        <row r="21">
          <cell r="N21">
            <v>0</v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</row>
        <row r="22">
          <cell r="N22">
            <v>0</v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</row>
        <row r="23">
          <cell r="N23">
            <v>0</v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</row>
        <row r="24">
          <cell r="N24">
            <v>0</v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</row>
        <row r="25">
          <cell r="N25">
            <v>0</v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</row>
        <row r="26">
          <cell r="N26">
            <v>0</v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</row>
        <row r="27">
          <cell r="N27">
            <v>0</v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</row>
        <row r="28">
          <cell r="N28">
            <v>0</v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</row>
        <row r="29">
          <cell r="N29">
            <v>0</v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</row>
        <row r="30">
          <cell r="N30">
            <v>0</v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</row>
        <row r="31">
          <cell r="N31">
            <v>0</v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</row>
        <row r="32">
          <cell r="N32">
            <v>0</v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</row>
        <row r="33">
          <cell r="N33">
            <v>0</v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</row>
        <row r="34">
          <cell r="N34">
            <v>0</v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</row>
        <row r="35">
          <cell r="N35">
            <v>0</v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</row>
        <row r="36">
          <cell r="N36">
            <v>0</v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</row>
        <row r="37">
          <cell r="N37">
            <v>0</v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</row>
        <row r="38">
          <cell r="N38">
            <v>0</v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</row>
        <row r="39">
          <cell r="N39">
            <v>0</v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</row>
        <row r="40">
          <cell r="N40">
            <v>0</v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</row>
        <row r="41">
          <cell r="N41">
            <v>0</v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</row>
        <row r="42">
          <cell r="N42">
            <v>0</v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</row>
        <row r="43">
          <cell r="N43">
            <v>0</v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</row>
        <row r="44">
          <cell r="N44">
            <v>0</v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</row>
        <row r="45">
          <cell r="N45">
            <v>0</v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</row>
        <row r="46">
          <cell r="N46">
            <v>0</v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</row>
        <row r="47">
          <cell r="N47">
            <v>0</v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</row>
        <row r="48">
          <cell r="N48">
            <v>0</v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</row>
        <row r="49">
          <cell r="N49">
            <v>0</v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</row>
        <row r="50">
          <cell r="N50">
            <v>0</v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</row>
        <row r="51">
          <cell r="N51">
            <v>0</v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</row>
        <row r="52">
          <cell r="N52">
            <v>0</v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</row>
        <row r="53">
          <cell r="N53">
            <v>0</v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</row>
        <row r="54">
          <cell r="N54">
            <v>0</v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</row>
        <row r="55">
          <cell r="N55">
            <v>0</v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</row>
        <row r="56">
          <cell r="N56">
            <v>0</v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</row>
        <row r="57">
          <cell r="N57">
            <v>0</v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</row>
        <row r="58">
          <cell r="N58">
            <v>0</v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</row>
        <row r="59">
          <cell r="N59">
            <v>0</v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</row>
        <row r="60">
          <cell r="N60">
            <v>0</v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</row>
        <row r="61">
          <cell r="N61">
            <v>0</v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</row>
        <row r="62">
          <cell r="N62">
            <v>0</v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</row>
        <row r="63">
          <cell r="N63">
            <v>0</v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</row>
        <row r="64">
          <cell r="N64">
            <v>0</v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</row>
        <row r="65">
          <cell r="N65">
            <v>0</v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</row>
        <row r="66">
          <cell r="N66">
            <v>0</v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</row>
        <row r="67">
          <cell r="N67">
            <v>0</v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</row>
        <row r="68">
          <cell r="N68">
            <v>0</v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</row>
        <row r="69">
          <cell r="N69">
            <v>0</v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</row>
        <row r="70">
          <cell r="N70">
            <v>0</v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</row>
        <row r="71">
          <cell r="N71">
            <v>0</v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</row>
        <row r="72">
          <cell r="N72">
            <v>0</v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</row>
        <row r="73">
          <cell r="N73">
            <v>0</v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</row>
        <row r="74">
          <cell r="N74">
            <v>0</v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</row>
        <row r="75">
          <cell r="N75">
            <v>0</v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</row>
        <row r="76">
          <cell r="N76">
            <v>0</v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</row>
        <row r="77">
          <cell r="N77">
            <v>0</v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</row>
        <row r="78">
          <cell r="N78">
            <v>0</v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</row>
        <row r="79">
          <cell r="N79">
            <v>0</v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</row>
        <row r="80">
          <cell r="N80">
            <v>0</v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</row>
        <row r="81">
          <cell r="N81">
            <v>0</v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</row>
        <row r="82">
          <cell r="N82">
            <v>0</v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</row>
        <row r="83">
          <cell r="N83">
            <v>0</v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</row>
        <row r="84">
          <cell r="N84">
            <v>0</v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</row>
        <row r="85">
          <cell r="N85">
            <v>0</v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</row>
        <row r="86">
          <cell r="N86">
            <v>0</v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</row>
        <row r="87">
          <cell r="N87">
            <v>0</v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</row>
        <row r="88">
          <cell r="N88">
            <v>0</v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</row>
        <row r="89">
          <cell r="N89">
            <v>0</v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</row>
        <row r="90">
          <cell r="N90">
            <v>0</v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</row>
        <row r="91">
          <cell r="N91">
            <v>0</v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</row>
        <row r="92">
          <cell r="N92">
            <v>0</v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</row>
        <row r="93">
          <cell r="N93">
            <v>0</v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</row>
        <row r="94">
          <cell r="N94">
            <v>0</v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</row>
        <row r="95">
          <cell r="N95">
            <v>0</v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</row>
        <row r="96">
          <cell r="N96">
            <v>0</v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</row>
        <row r="97">
          <cell r="N97">
            <v>0</v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</row>
        <row r="98">
          <cell r="N98">
            <v>0</v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</row>
        <row r="99">
          <cell r="N99">
            <v>0</v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</row>
        <row r="100">
          <cell r="N100">
            <v>0</v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</row>
        <row r="101">
          <cell r="N101">
            <v>0</v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</row>
        <row r="102">
          <cell r="N102">
            <v>0</v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</row>
        <row r="103">
          <cell r="N103">
            <v>0</v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</row>
        <row r="104">
          <cell r="N104">
            <v>0</v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</row>
        <row r="105">
          <cell r="N105">
            <v>0</v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</row>
        <row r="106">
          <cell r="N106">
            <v>0</v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</row>
        <row r="107">
          <cell r="N107">
            <v>0</v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</row>
        <row r="108">
          <cell r="N108">
            <v>0</v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</row>
        <row r="109">
          <cell r="N109">
            <v>0</v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</row>
        <row r="110">
          <cell r="N110">
            <v>0</v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</row>
        <row r="111">
          <cell r="N111">
            <v>0</v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</row>
        <row r="112">
          <cell r="N112">
            <v>0</v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</row>
        <row r="113">
          <cell r="N113">
            <v>0</v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</row>
        <row r="114">
          <cell r="N114">
            <v>0</v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</row>
        <row r="115">
          <cell r="N115">
            <v>0</v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</row>
        <row r="116">
          <cell r="N116">
            <v>0</v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</row>
        <row r="117">
          <cell r="N117">
            <v>0</v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</row>
        <row r="118">
          <cell r="N118">
            <v>0</v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</row>
        <row r="119">
          <cell r="N119">
            <v>0</v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</row>
        <row r="120">
          <cell r="N120">
            <v>0</v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</row>
        <row r="121">
          <cell r="N121">
            <v>0</v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</row>
        <row r="122">
          <cell r="N122">
            <v>0</v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</row>
        <row r="123">
          <cell r="N123">
            <v>0</v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</row>
        <row r="124">
          <cell r="N124">
            <v>0</v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</row>
        <row r="125">
          <cell r="N125">
            <v>0</v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</row>
        <row r="126">
          <cell r="N126">
            <v>0</v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</row>
        <row r="127">
          <cell r="N127">
            <v>0</v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</row>
        <row r="128">
          <cell r="N128">
            <v>0</v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</row>
        <row r="129">
          <cell r="N129">
            <v>0</v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</row>
        <row r="130">
          <cell r="N130">
            <v>0</v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</row>
        <row r="131">
          <cell r="N131">
            <v>0</v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</row>
        <row r="132">
          <cell r="N132">
            <v>0</v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</row>
        <row r="133">
          <cell r="N133">
            <v>0</v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</row>
        <row r="134">
          <cell r="N134">
            <v>0</v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</row>
        <row r="135">
          <cell r="N135">
            <v>0</v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</row>
        <row r="136">
          <cell r="N136">
            <v>0</v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</row>
        <row r="137">
          <cell r="N137">
            <v>0</v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</row>
        <row r="138">
          <cell r="N138">
            <v>0</v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</row>
        <row r="139">
          <cell r="N139">
            <v>0</v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</row>
        <row r="140">
          <cell r="N140">
            <v>0</v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</row>
        <row r="141">
          <cell r="N141">
            <v>0</v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</row>
        <row r="142">
          <cell r="N142">
            <v>0</v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</row>
        <row r="143">
          <cell r="N143">
            <v>0</v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</row>
        <row r="144">
          <cell r="N144">
            <v>0</v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</row>
        <row r="145">
          <cell r="N145">
            <v>0</v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</row>
        <row r="146">
          <cell r="N146">
            <v>0</v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</row>
        <row r="147">
          <cell r="N147">
            <v>0</v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</row>
        <row r="148">
          <cell r="N148">
            <v>0</v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</row>
        <row r="149">
          <cell r="N149">
            <v>0</v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</row>
        <row r="150">
          <cell r="N150">
            <v>0</v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</row>
        <row r="151">
          <cell r="N151">
            <v>0</v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</row>
        <row r="152">
          <cell r="N152">
            <v>0</v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</row>
        <row r="153">
          <cell r="N153">
            <v>0</v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</row>
        <row r="154">
          <cell r="N154">
            <v>0</v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</row>
        <row r="155">
          <cell r="N155">
            <v>0</v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</row>
        <row r="156">
          <cell r="N156">
            <v>0</v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</row>
        <row r="157">
          <cell r="N157">
            <v>0</v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</row>
        <row r="158">
          <cell r="N158">
            <v>0</v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</row>
        <row r="159">
          <cell r="N159">
            <v>0</v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</row>
        <row r="160">
          <cell r="N160">
            <v>0</v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</row>
        <row r="161">
          <cell r="N161">
            <v>0</v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</row>
        <row r="164">
          <cell r="N164">
            <v>0</v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</row>
        <row r="165">
          <cell r="N165">
            <v>0</v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</row>
        <row r="166">
          <cell r="N166">
            <v>0</v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</row>
        <row r="167">
          <cell r="N167">
            <v>0</v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</row>
        <row r="168">
          <cell r="N168">
            <v>0</v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</row>
        <row r="169">
          <cell r="N169">
            <v>0</v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</row>
        <row r="170">
          <cell r="N170">
            <v>0</v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</row>
        <row r="171">
          <cell r="N171">
            <v>0</v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</row>
        <row r="172">
          <cell r="N172">
            <v>0</v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</row>
        <row r="173">
          <cell r="N173">
            <v>0</v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</row>
        <row r="174">
          <cell r="N174">
            <v>0</v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</row>
        <row r="175">
          <cell r="N175">
            <v>0</v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</row>
        <row r="176">
          <cell r="N176">
            <v>0</v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</row>
        <row r="177">
          <cell r="N177">
            <v>0</v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</row>
        <row r="178">
          <cell r="N178">
            <v>0</v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</row>
        <row r="179">
          <cell r="N179">
            <v>0</v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</row>
        <row r="180">
          <cell r="N180">
            <v>0</v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</row>
        <row r="181">
          <cell r="N181">
            <v>0</v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</row>
        <row r="182">
          <cell r="N182">
            <v>0</v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</row>
        <row r="183">
          <cell r="N183">
            <v>0</v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</row>
        <row r="184">
          <cell r="N184">
            <v>0</v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</row>
        <row r="185">
          <cell r="N185">
            <v>0</v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</row>
        <row r="186">
          <cell r="N186">
            <v>0</v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</row>
        <row r="187">
          <cell r="N187">
            <v>0</v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</row>
        <row r="188">
          <cell r="N188">
            <v>0</v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</row>
        <row r="189">
          <cell r="N189">
            <v>0</v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</row>
        <row r="190">
          <cell r="N190">
            <v>0</v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</row>
        <row r="191">
          <cell r="N191">
            <v>0</v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</row>
        <row r="192">
          <cell r="N192">
            <v>0</v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</row>
        <row r="193">
          <cell r="N193">
            <v>0</v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</row>
        <row r="194">
          <cell r="N194">
            <v>0</v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</row>
        <row r="195">
          <cell r="N195">
            <v>0</v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</row>
        <row r="196">
          <cell r="N196">
            <v>0</v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</row>
        <row r="197">
          <cell r="N197">
            <v>0</v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</row>
        <row r="198">
          <cell r="N198">
            <v>0</v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</row>
        <row r="199">
          <cell r="N199">
            <v>0</v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</row>
        <row r="200">
          <cell r="N200">
            <v>0</v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</row>
        <row r="201">
          <cell r="N201">
            <v>0</v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</row>
        <row r="202">
          <cell r="N202">
            <v>0</v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</row>
        <row r="203">
          <cell r="N203">
            <v>0</v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</row>
        <row r="204">
          <cell r="N204">
            <v>0</v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</row>
        <row r="205">
          <cell r="N205">
            <v>0</v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</row>
        <row r="206">
          <cell r="N206">
            <v>0</v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</row>
        <row r="207">
          <cell r="N207">
            <v>0</v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</row>
        <row r="208">
          <cell r="N208">
            <v>0</v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</row>
        <row r="209">
          <cell r="N209">
            <v>0</v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</row>
        <row r="210">
          <cell r="N210">
            <v>0</v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</row>
        <row r="211">
          <cell r="N211">
            <v>0</v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</row>
        <row r="212">
          <cell r="N212">
            <v>0</v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</row>
        <row r="213">
          <cell r="N213">
            <v>0</v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</row>
        <row r="214">
          <cell r="N214">
            <v>0</v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</row>
        <row r="215">
          <cell r="N215">
            <v>0</v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</row>
        <row r="216">
          <cell r="N216">
            <v>0</v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</row>
        <row r="217">
          <cell r="N217">
            <v>0</v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</row>
        <row r="218">
          <cell r="N218">
            <v>0</v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</row>
        <row r="219">
          <cell r="N219">
            <v>0</v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</row>
        <row r="220">
          <cell r="N220">
            <v>0</v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</row>
        <row r="221">
          <cell r="N221">
            <v>0</v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</row>
        <row r="222">
          <cell r="N222">
            <v>0</v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</row>
        <row r="223">
          <cell r="N223">
            <v>0</v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</row>
        <row r="224">
          <cell r="N224">
            <v>0</v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</row>
        <row r="225">
          <cell r="N225">
            <v>0</v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</row>
        <row r="226">
          <cell r="N226">
            <v>0</v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</row>
        <row r="227">
          <cell r="N227">
            <v>0</v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</row>
        <row r="228">
          <cell r="N228">
            <v>0</v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</row>
        <row r="229">
          <cell r="N229">
            <v>0</v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</row>
        <row r="230">
          <cell r="N230">
            <v>0</v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</row>
        <row r="231">
          <cell r="N231">
            <v>0</v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</row>
        <row r="232">
          <cell r="N232">
            <v>0</v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</row>
        <row r="233">
          <cell r="N233">
            <v>0</v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</row>
        <row r="234">
          <cell r="N234">
            <v>0</v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</row>
        <row r="235">
          <cell r="N235">
            <v>0</v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</row>
        <row r="236">
          <cell r="N236">
            <v>0</v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</row>
        <row r="237">
          <cell r="N237">
            <v>0</v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</row>
        <row r="238">
          <cell r="N238">
            <v>0</v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</row>
        <row r="239">
          <cell r="N239">
            <v>0</v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</row>
        <row r="240">
          <cell r="N240">
            <v>0</v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</row>
        <row r="241">
          <cell r="N241">
            <v>0</v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</row>
        <row r="242">
          <cell r="N242">
            <v>0</v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</row>
        <row r="243">
          <cell r="N243">
            <v>0</v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</row>
        <row r="244">
          <cell r="N244">
            <v>0</v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</row>
        <row r="245">
          <cell r="N245">
            <v>0</v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</row>
        <row r="246">
          <cell r="N246">
            <v>0</v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</row>
        <row r="247">
          <cell r="N247">
            <v>0</v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</row>
        <row r="248">
          <cell r="N248">
            <v>0</v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</row>
        <row r="249">
          <cell r="N249">
            <v>0</v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</row>
        <row r="250">
          <cell r="N250">
            <v>0</v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</row>
        <row r="251">
          <cell r="N251">
            <v>0</v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</row>
        <row r="252">
          <cell r="N252">
            <v>0</v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</row>
        <row r="253">
          <cell r="N253">
            <v>0</v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</row>
        <row r="254">
          <cell r="N254">
            <v>0</v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</row>
        <row r="255">
          <cell r="N255">
            <v>0</v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</row>
        <row r="256">
          <cell r="N256">
            <v>0</v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</row>
        <row r="257">
          <cell r="N257">
            <v>0</v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</row>
        <row r="258">
          <cell r="N258">
            <v>0</v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</row>
        <row r="259">
          <cell r="N259">
            <v>0</v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</row>
        <row r="260">
          <cell r="N260">
            <v>0</v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</row>
        <row r="261">
          <cell r="N261">
            <v>0</v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</row>
        <row r="262">
          <cell r="N262">
            <v>0</v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</row>
        <row r="263">
          <cell r="N263">
            <v>0</v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</row>
        <row r="264">
          <cell r="N264">
            <v>0</v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</row>
        <row r="265">
          <cell r="N265">
            <v>0</v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</row>
        <row r="266">
          <cell r="N266">
            <v>0</v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</row>
        <row r="267">
          <cell r="N267">
            <v>0</v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</row>
        <row r="268">
          <cell r="N268">
            <v>0</v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</row>
        <row r="269">
          <cell r="N269">
            <v>0</v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</row>
        <row r="270">
          <cell r="N270">
            <v>0</v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</row>
        <row r="271">
          <cell r="N271">
            <v>0</v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</row>
        <row r="272">
          <cell r="N272">
            <v>0</v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</row>
        <row r="273">
          <cell r="N273">
            <v>0</v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</row>
        <row r="274">
          <cell r="N274">
            <v>0</v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</row>
        <row r="275">
          <cell r="N275">
            <v>0</v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</row>
        <row r="276">
          <cell r="N276">
            <v>0</v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</row>
        <row r="277">
          <cell r="N277">
            <v>0</v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</row>
        <row r="278">
          <cell r="N278">
            <v>0</v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</row>
        <row r="279">
          <cell r="N279">
            <v>0</v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</row>
        <row r="280">
          <cell r="N280">
            <v>0</v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</row>
        <row r="281">
          <cell r="N281">
            <v>0</v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</row>
        <row r="282">
          <cell r="N282">
            <v>0</v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</row>
        <row r="283">
          <cell r="N283">
            <v>0</v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</row>
        <row r="284">
          <cell r="N284">
            <v>0</v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</row>
        <row r="285">
          <cell r="N285">
            <v>0</v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</row>
        <row r="286">
          <cell r="N286">
            <v>0</v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</row>
        <row r="287">
          <cell r="N287">
            <v>0</v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</row>
        <row r="288">
          <cell r="N288">
            <v>0</v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</row>
        <row r="289">
          <cell r="N289">
            <v>0</v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</row>
        <row r="290">
          <cell r="N290">
            <v>0</v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</row>
        <row r="291">
          <cell r="N291">
            <v>0</v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</row>
        <row r="292">
          <cell r="N292">
            <v>0</v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</row>
        <row r="293">
          <cell r="N293">
            <v>0</v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</row>
        <row r="294">
          <cell r="N294">
            <v>0</v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</row>
        <row r="295">
          <cell r="N295">
            <v>0</v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</row>
        <row r="296">
          <cell r="N296">
            <v>0</v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</row>
        <row r="297">
          <cell r="N297">
            <v>0</v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</row>
        <row r="298">
          <cell r="N298">
            <v>0</v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</row>
        <row r="299">
          <cell r="N299">
            <v>0</v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</row>
        <row r="300">
          <cell r="N300">
            <v>0</v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</row>
        <row r="301">
          <cell r="N301">
            <v>0</v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</row>
        <row r="302">
          <cell r="N302">
            <v>0</v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</row>
        <row r="303">
          <cell r="N303">
            <v>0</v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</row>
        <row r="304">
          <cell r="N304">
            <v>0</v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</row>
        <row r="305">
          <cell r="N305">
            <v>0</v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</row>
        <row r="306">
          <cell r="N306">
            <v>0</v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</row>
        <row r="307">
          <cell r="N307">
            <v>0</v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</row>
        <row r="308">
          <cell r="N308">
            <v>0</v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</row>
        <row r="309">
          <cell r="N309">
            <v>0</v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</row>
        <row r="310">
          <cell r="N310">
            <v>0</v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</row>
        <row r="311">
          <cell r="N311">
            <v>0</v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</row>
        <row r="312">
          <cell r="N312">
            <v>0</v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</row>
        <row r="313">
          <cell r="N313">
            <v>0</v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</row>
        <row r="314">
          <cell r="N314">
            <v>0</v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</row>
        <row r="315">
          <cell r="N315">
            <v>0</v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</row>
      </sheetData>
      <sheetData sheetId="6" refreshError="1"/>
      <sheetData sheetId="7" refreshError="1"/>
      <sheetData sheetId="8" refreshError="1"/>
      <sheetData sheetId="9" refreshError="1">
        <row r="14">
          <cell r="B14" t="str">
            <v>1111</v>
          </cell>
        </row>
        <row r="15">
          <cell r="B15" t="str">
            <v>1112</v>
          </cell>
        </row>
        <row r="16">
          <cell r="B16" t="str">
            <v>1113</v>
          </cell>
        </row>
        <row r="17">
          <cell r="B17" t="str">
            <v>1121</v>
          </cell>
        </row>
        <row r="18">
          <cell r="B18" t="str">
            <v>1122</v>
          </cell>
        </row>
        <row r="19">
          <cell r="B19" t="str">
            <v>1123</v>
          </cell>
        </row>
        <row r="20">
          <cell r="B20" t="str">
            <v>1131</v>
          </cell>
        </row>
        <row r="21">
          <cell r="B21" t="str">
            <v>1132</v>
          </cell>
        </row>
        <row r="23">
          <cell r="B23" t="str">
            <v>121t</v>
          </cell>
        </row>
        <row r="24">
          <cell r="B24" t="str">
            <v>128t</v>
          </cell>
        </row>
        <row r="28">
          <cell r="B28" t="str">
            <v>1211</v>
          </cell>
        </row>
        <row r="29">
          <cell r="B29" t="str">
            <v>1212</v>
          </cell>
        </row>
        <row r="30">
          <cell r="B30" t="str">
            <v>1281</v>
          </cell>
        </row>
        <row r="31">
          <cell r="B31" t="str">
            <v>1288</v>
          </cell>
        </row>
        <row r="32">
          <cell r="B32" t="str">
            <v>129</v>
          </cell>
        </row>
        <row r="35">
          <cell r="B35" t="str">
            <v>131an</v>
          </cell>
        </row>
        <row r="36">
          <cell r="B36" t="str">
            <v>331an</v>
          </cell>
        </row>
        <row r="38">
          <cell r="B38" t="str">
            <v>1368an</v>
          </cell>
        </row>
        <row r="39">
          <cell r="B39" t="str">
            <v>336an</v>
          </cell>
        </row>
        <row r="40">
          <cell r="B40" t="str">
            <v>337a</v>
          </cell>
        </row>
        <row r="42">
          <cell r="B42" t="str">
            <v>1385an</v>
          </cell>
        </row>
        <row r="43">
          <cell r="B43" t="str">
            <v>1388a1</v>
          </cell>
        </row>
        <row r="44">
          <cell r="B44" t="str">
            <v>1388an</v>
          </cell>
        </row>
        <row r="45">
          <cell r="B45" t="str">
            <v>3341a</v>
          </cell>
        </row>
        <row r="46">
          <cell r="B46" t="str">
            <v>3348a</v>
          </cell>
        </row>
        <row r="47">
          <cell r="B47" t="str">
            <v>3382a</v>
          </cell>
        </row>
        <row r="48">
          <cell r="B48" t="str">
            <v>3383a</v>
          </cell>
        </row>
        <row r="49">
          <cell r="B49" t="str">
            <v>3384a</v>
          </cell>
        </row>
        <row r="50">
          <cell r="B50" t="str">
            <v>3385a</v>
          </cell>
        </row>
        <row r="51">
          <cell r="B51" t="str">
            <v>3386a</v>
          </cell>
        </row>
        <row r="52">
          <cell r="B52" t="str">
            <v>3387an</v>
          </cell>
        </row>
        <row r="53">
          <cell r="B53" t="str">
            <v>3388a1</v>
          </cell>
        </row>
        <row r="54">
          <cell r="B54" t="str">
            <v>3388a2</v>
          </cell>
        </row>
        <row r="55">
          <cell r="B55" t="str">
            <v>3388an</v>
          </cell>
        </row>
        <row r="56">
          <cell r="B56" t="str">
            <v>3389a</v>
          </cell>
        </row>
        <row r="57">
          <cell r="B57" t="str">
            <v>139n</v>
          </cell>
        </row>
        <row r="61">
          <cell r="B61" t="str">
            <v>151</v>
          </cell>
        </row>
        <row r="62">
          <cell r="B62" t="str">
            <v>152</v>
          </cell>
        </row>
        <row r="63">
          <cell r="B63" t="str">
            <v>153</v>
          </cell>
        </row>
        <row r="64">
          <cell r="B64" t="str">
            <v>154</v>
          </cell>
        </row>
        <row r="65">
          <cell r="B65" t="str">
            <v>155</v>
          </cell>
        </row>
        <row r="66">
          <cell r="B66" t="str">
            <v>1561</v>
          </cell>
        </row>
        <row r="67">
          <cell r="B67" t="str">
            <v>1562</v>
          </cell>
        </row>
        <row r="68">
          <cell r="B68" t="str">
            <v>1567</v>
          </cell>
        </row>
        <row r="69">
          <cell r="B69" t="str">
            <v>157</v>
          </cell>
        </row>
        <row r="70">
          <cell r="B70" t="str">
            <v>158</v>
          </cell>
        </row>
        <row r="71">
          <cell r="B71" t="str">
            <v>159</v>
          </cell>
        </row>
        <row r="74">
          <cell r="B74" t="str">
            <v>142</v>
          </cell>
        </row>
        <row r="76">
          <cell r="B76" t="str">
            <v>1331a</v>
          </cell>
        </row>
        <row r="77">
          <cell r="B77" t="str">
            <v>1332a</v>
          </cell>
        </row>
        <row r="78">
          <cell r="B78" t="str">
            <v>1331b</v>
          </cell>
        </row>
        <row r="79">
          <cell r="B79" t="str">
            <v>1332b</v>
          </cell>
        </row>
        <row r="81">
          <cell r="B81" t="str">
            <v>33311a</v>
          </cell>
        </row>
        <row r="82">
          <cell r="B82" t="str">
            <v>33312a</v>
          </cell>
        </row>
        <row r="83">
          <cell r="B83" t="str">
            <v>3332a</v>
          </cell>
        </row>
        <row r="84">
          <cell r="B84" t="str">
            <v>3333a</v>
          </cell>
        </row>
        <row r="85">
          <cell r="B85" t="str">
            <v>3334a</v>
          </cell>
        </row>
        <row r="86">
          <cell r="B86" t="str">
            <v>3335a</v>
          </cell>
        </row>
        <row r="87">
          <cell r="B87" t="str">
            <v>3336a</v>
          </cell>
        </row>
        <row r="88">
          <cell r="B88" t="str">
            <v>3337a</v>
          </cell>
        </row>
        <row r="89">
          <cell r="B89" t="str">
            <v>3338a</v>
          </cell>
        </row>
        <row r="90">
          <cell r="B90" t="str">
            <v>3339a1</v>
          </cell>
        </row>
        <row r="91">
          <cell r="B91" t="str">
            <v>3339a2</v>
          </cell>
        </row>
        <row r="92">
          <cell r="B92" t="str">
            <v>171a</v>
          </cell>
        </row>
        <row r="94">
          <cell r="B94" t="str">
            <v>1381</v>
          </cell>
        </row>
        <row r="95">
          <cell r="B95" t="str">
            <v>141a</v>
          </cell>
        </row>
        <row r="96">
          <cell r="B96" t="str">
            <v>144</v>
          </cell>
        </row>
        <row r="101">
          <cell r="B101" t="str">
            <v>131ad</v>
          </cell>
        </row>
        <row r="102">
          <cell r="B102" t="str">
            <v>1361ad</v>
          </cell>
        </row>
        <row r="104">
          <cell r="B104" t="str">
            <v>1368ad1</v>
          </cell>
        </row>
        <row r="105">
          <cell r="B105" t="str">
            <v>1368ad</v>
          </cell>
        </row>
        <row r="106">
          <cell r="B106" t="str">
            <v>336ad1</v>
          </cell>
        </row>
        <row r="107">
          <cell r="B107" t="str">
            <v>336ad2</v>
          </cell>
        </row>
        <row r="108">
          <cell r="B108" t="str">
            <v>336ad3</v>
          </cell>
        </row>
        <row r="110">
          <cell r="B110" t="str">
            <v>1385ad</v>
          </cell>
        </row>
        <row r="111">
          <cell r="B111" t="str">
            <v>1388ad1</v>
          </cell>
        </row>
        <row r="112">
          <cell r="B112" t="str">
            <v>1388ad2</v>
          </cell>
        </row>
        <row r="113">
          <cell r="B113" t="str">
            <v>1388ad</v>
          </cell>
        </row>
        <row r="114">
          <cell r="B114" t="str">
            <v>331ad</v>
          </cell>
        </row>
        <row r="115">
          <cell r="B115" t="str">
            <v>3387ad</v>
          </cell>
        </row>
        <row r="116">
          <cell r="B116" t="str">
            <v>3388ad</v>
          </cell>
        </row>
        <row r="117">
          <cell r="B117" t="str">
            <v>139d</v>
          </cell>
        </row>
        <row r="122">
          <cell r="B122" t="str">
            <v>2111</v>
          </cell>
        </row>
        <row r="123">
          <cell r="B123" t="str">
            <v>2112</v>
          </cell>
        </row>
        <row r="124">
          <cell r="B124" t="str">
            <v>2113</v>
          </cell>
        </row>
        <row r="125">
          <cell r="B125" t="str">
            <v>2114</v>
          </cell>
        </row>
        <row r="126">
          <cell r="B126" t="str">
            <v>2115</v>
          </cell>
        </row>
        <row r="127">
          <cell r="B127" t="str">
            <v>2118</v>
          </cell>
        </row>
        <row r="129">
          <cell r="B129" t="str">
            <v>21411</v>
          </cell>
        </row>
        <row r="130">
          <cell r="B130" t="str">
            <v>21412</v>
          </cell>
        </row>
        <row r="131">
          <cell r="B131" t="str">
            <v>21413</v>
          </cell>
        </row>
        <row r="132">
          <cell r="B132" t="str">
            <v>21414</v>
          </cell>
        </row>
        <row r="133">
          <cell r="B133" t="str">
            <v>21415</v>
          </cell>
        </row>
        <row r="134">
          <cell r="B134" t="str">
            <v>21418</v>
          </cell>
        </row>
        <row r="137">
          <cell r="B137" t="str">
            <v>2121</v>
          </cell>
        </row>
        <row r="138">
          <cell r="B138" t="str">
            <v>2122</v>
          </cell>
        </row>
        <row r="139">
          <cell r="B139" t="str">
            <v>2123</v>
          </cell>
        </row>
        <row r="140">
          <cell r="B140" t="str">
            <v>2124</v>
          </cell>
        </row>
        <row r="141">
          <cell r="B141" t="str">
            <v>2125</v>
          </cell>
        </row>
        <row r="142">
          <cell r="B142" t="str">
            <v>2128</v>
          </cell>
        </row>
        <row r="144">
          <cell r="B144" t="str">
            <v>21421</v>
          </cell>
        </row>
        <row r="145">
          <cell r="B145" t="str">
            <v>21422</v>
          </cell>
        </row>
        <row r="146">
          <cell r="B146" t="str">
            <v>21423</v>
          </cell>
        </row>
        <row r="147">
          <cell r="B147" t="str">
            <v>21424</v>
          </cell>
        </row>
        <row r="148">
          <cell r="B148" t="str">
            <v>21425</v>
          </cell>
        </row>
        <row r="149">
          <cell r="B149" t="str">
            <v>21428</v>
          </cell>
        </row>
        <row r="152">
          <cell r="B152" t="str">
            <v>2131</v>
          </cell>
        </row>
        <row r="153">
          <cell r="B153" t="str">
            <v>2132</v>
          </cell>
        </row>
        <row r="154">
          <cell r="B154" t="str">
            <v>2133</v>
          </cell>
        </row>
        <row r="155">
          <cell r="B155" t="str">
            <v>2134</v>
          </cell>
        </row>
        <row r="156">
          <cell r="B156" t="str">
            <v>2135</v>
          </cell>
        </row>
        <row r="157">
          <cell r="B157" t="str">
            <v>2136</v>
          </cell>
        </row>
        <row r="158">
          <cell r="B158" t="str">
            <v>2138</v>
          </cell>
        </row>
        <row r="160">
          <cell r="B160" t="str">
            <v>21431</v>
          </cell>
        </row>
        <row r="161">
          <cell r="B161" t="str">
            <v>21432</v>
          </cell>
        </row>
        <row r="162">
          <cell r="B162" t="str">
            <v>21433</v>
          </cell>
        </row>
        <row r="163">
          <cell r="B163" t="str">
            <v>21434</v>
          </cell>
        </row>
        <row r="164">
          <cell r="B164" t="str">
            <v>21435</v>
          </cell>
        </row>
        <row r="165">
          <cell r="B165" t="str">
            <v>21436</v>
          </cell>
        </row>
        <row r="166">
          <cell r="B166" t="str">
            <v>21438</v>
          </cell>
        </row>
        <row r="168">
          <cell r="B168" t="str">
            <v>2411</v>
          </cell>
        </row>
        <row r="169">
          <cell r="B169" t="str">
            <v>2412</v>
          </cell>
        </row>
        <row r="170">
          <cell r="B170" t="str">
            <v>2413</v>
          </cell>
        </row>
        <row r="173">
          <cell r="B173" t="str">
            <v>217</v>
          </cell>
        </row>
        <row r="174">
          <cell r="B174" t="str">
            <v>2147</v>
          </cell>
        </row>
        <row r="177">
          <cell r="B177" t="str">
            <v>221</v>
          </cell>
        </row>
        <row r="179">
          <cell r="B179" t="str">
            <v>222</v>
          </cell>
        </row>
        <row r="180">
          <cell r="B180" t="str">
            <v>223</v>
          </cell>
        </row>
        <row r="182">
          <cell r="B182" t="str">
            <v>2281</v>
          </cell>
        </row>
        <row r="183">
          <cell r="B183" t="str">
            <v>22821</v>
          </cell>
        </row>
        <row r="184">
          <cell r="B184" t="str">
            <v>22822</v>
          </cell>
        </row>
        <row r="185">
          <cell r="B185" t="str">
            <v>22881</v>
          </cell>
        </row>
        <row r="186">
          <cell r="B186" t="str">
            <v>22882</v>
          </cell>
        </row>
        <row r="187">
          <cell r="B187" t="str">
            <v>229</v>
          </cell>
        </row>
        <row r="191">
          <cell r="B191" t="str">
            <v>2421</v>
          </cell>
        </row>
        <row r="192">
          <cell r="B192" t="str">
            <v>2422</v>
          </cell>
        </row>
        <row r="193">
          <cell r="B193" t="str">
            <v>2423</v>
          </cell>
        </row>
        <row r="194">
          <cell r="B194" t="str">
            <v>2424</v>
          </cell>
        </row>
        <row r="195">
          <cell r="B195" t="str">
            <v>2425</v>
          </cell>
        </row>
        <row r="196">
          <cell r="B196" t="str">
            <v>2426</v>
          </cell>
        </row>
        <row r="197">
          <cell r="B197" t="str">
            <v>2427</v>
          </cell>
        </row>
        <row r="198">
          <cell r="B198" t="str">
            <v>2428</v>
          </cell>
        </row>
        <row r="199">
          <cell r="B199" t="str">
            <v>2429</v>
          </cell>
        </row>
        <row r="200">
          <cell r="B200" t="str">
            <v>2420</v>
          </cell>
        </row>
        <row r="202">
          <cell r="B202" t="str">
            <v>2431</v>
          </cell>
        </row>
        <row r="203">
          <cell r="B203" t="str">
            <v>2432</v>
          </cell>
        </row>
        <row r="204">
          <cell r="B204" t="str">
            <v>2433</v>
          </cell>
        </row>
        <row r="205">
          <cell r="B205" t="str">
            <v>2434</v>
          </cell>
        </row>
        <row r="207">
          <cell r="B207" t="str">
            <v>244</v>
          </cell>
        </row>
        <row r="218">
          <cell r="B218" t="str">
            <v>3111</v>
          </cell>
        </row>
        <row r="219">
          <cell r="B219" t="str">
            <v>3112</v>
          </cell>
        </row>
        <row r="220">
          <cell r="B220" t="str">
            <v>315</v>
          </cell>
        </row>
        <row r="221">
          <cell r="B221" t="str">
            <v>331bn</v>
          </cell>
        </row>
        <row r="222">
          <cell r="B222" t="str">
            <v>131bn</v>
          </cell>
        </row>
        <row r="224">
          <cell r="B224" t="str">
            <v>33311b</v>
          </cell>
        </row>
        <row r="225">
          <cell r="B225" t="str">
            <v>33312b</v>
          </cell>
        </row>
        <row r="226">
          <cell r="B226" t="str">
            <v>3332b</v>
          </cell>
        </row>
        <row r="227">
          <cell r="B227" t="str">
            <v>3333b</v>
          </cell>
        </row>
        <row r="228">
          <cell r="B228" t="str">
            <v>3334b</v>
          </cell>
        </row>
        <row r="229">
          <cell r="B229" t="str">
            <v>3335b</v>
          </cell>
        </row>
        <row r="230">
          <cell r="B230" t="str">
            <v>3336b</v>
          </cell>
        </row>
        <row r="231">
          <cell r="B231" t="str">
            <v>3337b</v>
          </cell>
        </row>
        <row r="232">
          <cell r="B232" t="str">
            <v>3338b</v>
          </cell>
        </row>
        <row r="233">
          <cell r="B233" t="str">
            <v>3339b1</v>
          </cell>
        </row>
        <row r="234">
          <cell r="B234" t="str">
            <v>3339b2</v>
          </cell>
        </row>
        <row r="236">
          <cell r="B236" t="str">
            <v>3341b</v>
          </cell>
        </row>
        <row r="237">
          <cell r="B237" t="str">
            <v>3348b</v>
          </cell>
        </row>
        <row r="239">
          <cell r="B239" t="str">
            <v>3351</v>
          </cell>
        </row>
        <row r="240">
          <cell r="B240" t="str">
            <v>3352</v>
          </cell>
        </row>
        <row r="241">
          <cell r="B241" t="str">
            <v>3353</v>
          </cell>
        </row>
        <row r="242">
          <cell r="B242" t="str">
            <v>3354</v>
          </cell>
        </row>
        <row r="243">
          <cell r="B243" t="str">
            <v>3355</v>
          </cell>
        </row>
        <row r="245">
          <cell r="B245" t="str">
            <v>336bn</v>
          </cell>
        </row>
        <row r="246">
          <cell r="B246" t="str">
            <v>1368bn</v>
          </cell>
        </row>
        <row r="247">
          <cell r="B247" t="str">
            <v>337b</v>
          </cell>
        </row>
        <row r="249">
          <cell r="B249" t="str">
            <v>3381</v>
          </cell>
        </row>
        <row r="250">
          <cell r="B250" t="str">
            <v>3382b</v>
          </cell>
        </row>
        <row r="251">
          <cell r="B251" t="str">
            <v>3383b</v>
          </cell>
        </row>
        <row r="252">
          <cell r="B252" t="str">
            <v>3384b</v>
          </cell>
        </row>
        <row r="253">
          <cell r="B253" t="str">
            <v>3385b</v>
          </cell>
        </row>
        <row r="254">
          <cell r="B254" t="str">
            <v>3386b</v>
          </cell>
        </row>
        <row r="255">
          <cell r="B255" t="str">
            <v>3388b1</v>
          </cell>
        </row>
        <row r="256">
          <cell r="B256" t="str">
            <v>3388b2</v>
          </cell>
        </row>
        <row r="257">
          <cell r="B257" t="str">
            <v>3388bn</v>
          </cell>
        </row>
        <row r="258">
          <cell r="B258" t="str">
            <v>3389b</v>
          </cell>
        </row>
        <row r="259">
          <cell r="B259" t="str">
            <v>1385bn</v>
          </cell>
        </row>
        <row r="260">
          <cell r="B260" t="str">
            <v>1388b1</v>
          </cell>
        </row>
        <row r="261">
          <cell r="B261" t="str">
            <v>1388bn</v>
          </cell>
        </row>
        <row r="262">
          <cell r="B262" t="str">
            <v>141b</v>
          </cell>
        </row>
        <row r="263">
          <cell r="B263" t="str">
            <v>352n</v>
          </cell>
        </row>
        <row r="265">
          <cell r="B265" t="str">
            <v>3531</v>
          </cell>
        </row>
        <row r="266">
          <cell r="B266" t="str">
            <v>3532</v>
          </cell>
        </row>
        <row r="267">
          <cell r="B267" t="str">
            <v>3533</v>
          </cell>
        </row>
        <row r="268">
          <cell r="B268" t="str">
            <v>3534</v>
          </cell>
        </row>
        <row r="269">
          <cell r="B269" t="str">
            <v>171b</v>
          </cell>
        </row>
        <row r="272">
          <cell r="B272" t="str">
            <v>331bd</v>
          </cell>
        </row>
        <row r="274">
          <cell r="B274" t="str">
            <v>336bd1</v>
          </cell>
        </row>
        <row r="275">
          <cell r="B275" t="str">
            <v>336bd2</v>
          </cell>
        </row>
        <row r="276">
          <cell r="B276" t="str">
            <v>336bd3</v>
          </cell>
        </row>
        <row r="277">
          <cell r="B277" t="str">
            <v>1361bd</v>
          </cell>
        </row>
        <row r="278">
          <cell r="B278" t="str">
            <v>1368bd1</v>
          </cell>
        </row>
        <row r="279">
          <cell r="B279" t="str">
            <v>1368bd</v>
          </cell>
        </row>
        <row r="281">
          <cell r="B281" t="str">
            <v>3388bd</v>
          </cell>
        </row>
        <row r="282">
          <cell r="B282" t="str">
            <v>131bd</v>
          </cell>
        </row>
        <row r="283">
          <cell r="B283" t="str">
            <v>1385bd</v>
          </cell>
        </row>
        <row r="284">
          <cell r="B284" t="str">
            <v>1388bd</v>
          </cell>
        </row>
        <row r="285">
          <cell r="B285" t="str">
            <v>344</v>
          </cell>
        </row>
        <row r="287">
          <cell r="B287" t="str">
            <v>3411</v>
          </cell>
        </row>
        <row r="288">
          <cell r="B288" t="str">
            <v>3412</v>
          </cell>
        </row>
        <row r="289">
          <cell r="B289" t="str">
            <v>3421</v>
          </cell>
        </row>
        <row r="290">
          <cell r="B290" t="str">
            <v>3422</v>
          </cell>
        </row>
        <row r="291">
          <cell r="B291" t="str">
            <v>3431</v>
          </cell>
        </row>
        <row r="292">
          <cell r="B292" t="str">
            <v>3432</v>
          </cell>
        </row>
        <row r="293">
          <cell r="B293" t="str">
            <v>3433</v>
          </cell>
        </row>
        <row r="295">
          <cell r="B295" t="str">
            <v>3471</v>
          </cell>
        </row>
        <row r="296">
          <cell r="B296" t="str">
            <v>3472</v>
          </cell>
        </row>
        <row r="297">
          <cell r="B297" t="str">
            <v>351</v>
          </cell>
        </row>
        <row r="298">
          <cell r="B298" t="str">
            <v>352d</v>
          </cell>
        </row>
        <row r="299">
          <cell r="B299" t="str">
            <v>3387b</v>
          </cell>
        </row>
        <row r="301">
          <cell r="B301" t="str">
            <v>3561</v>
          </cell>
        </row>
        <row r="302">
          <cell r="B302" t="str">
            <v>3562</v>
          </cell>
        </row>
        <row r="307">
          <cell r="B307" t="str">
            <v>4111</v>
          </cell>
        </row>
        <row r="308">
          <cell r="B308" t="str">
            <v>4112</v>
          </cell>
        </row>
        <row r="309">
          <cell r="B309" t="str">
            <v>4118</v>
          </cell>
        </row>
        <row r="310">
          <cell r="B310" t="str">
            <v>419</v>
          </cell>
        </row>
        <row r="311">
          <cell r="B311" t="str">
            <v>412</v>
          </cell>
        </row>
        <row r="313">
          <cell r="B313" t="str">
            <v>4131</v>
          </cell>
        </row>
        <row r="314">
          <cell r="B314" t="str">
            <v>4132</v>
          </cell>
        </row>
        <row r="315">
          <cell r="B315" t="str">
            <v>414</v>
          </cell>
        </row>
        <row r="316">
          <cell r="B316" t="str">
            <v>415</v>
          </cell>
        </row>
        <row r="317">
          <cell r="B317" t="str">
            <v>418</v>
          </cell>
        </row>
        <row r="319">
          <cell r="B319" t="str">
            <v>4211</v>
          </cell>
        </row>
        <row r="320">
          <cell r="B320" t="str">
            <v>4212</v>
          </cell>
        </row>
        <row r="321">
          <cell r="B321" t="str">
            <v>441</v>
          </cell>
        </row>
        <row r="322">
          <cell r="B322" t="str">
            <v>417</v>
          </cell>
        </row>
        <row r="326">
          <cell r="B326" t="str">
            <v>4611</v>
          </cell>
        </row>
        <row r="327">
          <cell r="B327" t="str">
            <v>4612</v>
          </cell>
        </row>
        <row r="328">
          <cell r="B328" t="str">
            <v>1611</v>
          </cell>
        </row>
        <row r="329">
          <cell r="B329" t="str">
            <v>1612</v>
          </cell>
        </row>
        <row r="330">
          <cell r="B330" t="str">
            <v>466</v>
          </cell>
        </row>
        <row r="336">
          <cell r="B336" t="str">
            <v>001</v>
          </cell>
        </row>
        <row r="337">
          <cell r="B337" t="str">
            <v>002</v>
          </cell>
        </row>
        <row r="338">
          <cell r="B338" t="str">
            <v>003</v>
          </cell>
        </row>
        <row r="339">
          <cell r="B339" t="str">
            <v>004</v>
          </cell>
        </row>
        <row r="340">
          <cell r="B340" t="str">
            <v>007</v>
          </cell>
        </row>
        <row r="341">
          <cell r="B341" t="str">
            <v>0071</v>
          </cell>
        </row>
        <row r="342">
          <cell r="B342" t="str">
            <v>0072</v>
          </cell>
        </row>
        <row r="343">
          <cell r="B343" t="str">
            <v>0073</v>
          </cell>
        </row>
        <row r="344">
          <cell r="B344" t="str">
            <v>0074</v>
          </cell>
        </row>
        <row r="345">
          <cell r="B345" t="str">
            <v>0075</v>
          </cell>
        </row>
        <row r="346">
          <cell r="B346" t="str">
            <v>0076</v>
          </cell>
        </row>
        <row r="347">
          <cell r="B347" t="str">
            <v>008</v>
          </cell>
        </row>
        <row r="356">
          <cell r="B356" t="str">
            <v>5111</v>
          </cell>
        </row>
        <row r="357">
          <cell r="B357" t="str">
            <v>5112</v>
          </cell>
        </row>
        <row r="358">
          <cell r="B358" t="str">
            <v>5113</v>
          </cell>
        </row>
        <row r="359">
          <cell r="B359" t="str">
            <v>5114</v>
          </cell>
        </row>
        <row r="360">
          <cell r="B360" t="str">
            <v>5117</v>
          </cell>
        </row>
        <row r="361">
          <cell r="B361" t="str">
            <v>5118</v>
          </cell>
        </row>
        <row r="362">
          <cell r="B362" t="str">
            <v>5119</v>
          </cell>
        </row>
        <row r="363">
          <cell r="B363" t="str">
            <v>5121</v>
          </cell>
        </row>
        <row r="364">
          <cell r="B364" t="str">
            <v>5122</v>
          </cell>
        </row>
        <row r="365">
          <cell r="B365" t="str">
            <v>5123</v>
          </cell>
        </row>
        <row r="366">
          <cell r="B366" t="str">
            <v>5124</v>
          </cell>
        </row>
        <row r="367">
          <cell r="B367" t="str">
            <v>5127</v>
          </cell>
        </row>
        <row r="368">
          <cell r="B368" t="str">
            <v>5128</v>
          </cell>
        </row>
        <row r="369">
          <cell r="B369" t="str">
            <v>5129</v>
          </cell>
        </row>
        <row r="371">
          <cell r="B371" t="str">
            <v>521</v>
          </cell>
        </row>
        <row r="372">
          <cell r="B372" t="str">
            <v>531</v>
          </cell>
        </row>
        <row r="373">
          <cell r="B373" t="str">
            <v>532</v>
          </cell>
        </row>
        <row r="374">
          <cell r="B374" t="str">
            <v>VAT</v>
          </cell>
        </row>
        <row r="375">
          <cell r="B375" t="str">
            <v>TTDB</v>
          </cell>
        </row>
        <row r="376">
          <cell r="B376" t="str">
            <v>TXK</v>
          </cell>
        </row>
        <row r="380">
          <cell r="B380" t="str">
            <v>6321</v>
          </cell>
        </row>
        <row r="381">
          <cell r="B381" t="str">
            <v>6322</v>
          </cell>
        </row>
        <row r="382">
          <cell r="B382" t="str">
            <v>6323</v>
          </cell>
        </row>
        <row r="383">
          <cell r="B383" t="str">
            <v>6329</v>
          </cell>
        </row>
        <row r="384">
          <cell r="B384" t="str">
            <v>6324</v>
          </cell>
        </row>
        <row r="385">
          <cell r="B385" t="str">
            <v>6325</v>
          </cell>
        </row>
        <row r="386">
          <cell r="B386" t="str">
            <v>6326</v>
          </cell>
        </row>
        <row r="387">
          <cell r="B387" t="str">
            <v>6327</v>
          </cell>
        </row>
        <row r="388">
          <cell r="B388" t="str">
            <v>6328</v>
          </cell>
        </row>
        <row r="392">
          <cell r="B392" t="str">
            <v>5151</v>
          </cell>
        </row>
        <row r="393">
          <cell r="B393" t="str">
            <v>5152</v>
          </cell>
        </row>
        <row r="394">
          <cell r="B394" t="str">
            <v>5153</v>
          </cell>
        </row>
        <row r="395">
          <cell r="B395" t="str">
            <v>5154</v>
          </cell>
        </row>
        <row r="396">
          <cell r="B396" t="str">
            <v>5155</v>
          </cell>
        </row>
        <row r="397">
          <cell r="B397" t="str">
            <v>5156</v>
          </cell>
        </row>
        <row r="398">
          <cell r="B398" t="str">
            <v>5157</v>
          </cell>
        </row>
        <row r="399">
          <cell r="B399" t="str">
            <v>5158</v>
          </cell>
        </row>
        <row r="401">
          <cell r="B401" t="str">
            <v>6351</v>
          </cell>
        </row>
        <row r="402">
          <cell r="B402" t="str">
            <v>6352</v>
          </cell>
        </row>
        <row r="403">
          <cell r="B403" t="str">
            <v>6353</v>
          </cell>
        </row>
        <row r="404">
          <cell r="B404" t="str">
            <v>6354</v>
          </cell>
        </row>
        <row r="405">
          <cell r="B405" t="str">
            <v>6355</v>
          </cell>
        </row>
        <row r="406">
          <cell r="B406" t="str">
            <v>6356</v>
          </cell>
        </row>
        <row r="407">
          <cell r="B407" t="str">
            <v>6357</v>
          </cell>
        </row>
        <row r="408">
          <cell r="B408" t="str">
            <v>6358</v>
          </cell>
        </row>
        <row r="410">
          <cell r="B410" t="str">
            <v>641</v>
          </cell>
        </row>
        <row r="411">
          <cell r="B411" t="str">
            <v>642</v>
          </cell>
        </row>
        <row r="415">
          <cell r="B415" t="str">
            <v>711</v>
          </cell>
        </row>
        <row r="416">
          <cell r="B416" t="str">
            <v>811</v>
          </cell>
        </row>
        <row r="420">
          <cell r="B420" t="str">
            <v>82111</v>
          </cell>
        </row>
        <row r="421">
          <cell r="B421" t="str">
            <v>82112</v>
          </cell>
        </row>
        <row r="423">
          <cell r="B423" t="str">
            <v>82121</v>
          </cell>
        </row>
        <row r="424">
          <cell r="B424" t="str">
            <v>82122</v>
          </cell>
        </row>
        <row r="425">
          <cell r="B425" t="str">
            <v>82123</v>
          </cell>
        </row>
        <row r="426">
          <cell r="B426" t="str">
            <v>82124</v>
          </cell>
        </row>
        <row r="427">
          <cell r="B427" t="str">
            <v>82125</v>
          </cell>
        </row>
        <row r="429">
          <cell r="B429" t="str">
            <v>xxx</v>
          </cell>
        </row>
        <row r="438">
          <cell r="B438" t="str">
            <v>LC01</v>
          </cell>
        </row>
        <row r="439">
          <cell r="B439" t="str">
            <v>LC02</v>
          </cell>
        </row>
        <row r="440">
          <cell r="B440" t="str">
            <v>LC03</v>
          </cell>
        </row>
        <row r="441">
          <cell r="B441" t="str">
            <v>LC04</v>
          </cell>
        </row>
        <row r="442">
          <cell r="B442" t="str">
            <v>LC05</v>
          </cell>
        </row>
        <row r="443">
          <cell r="B443" t="str">
            <v>LC06</v>
          </cell>
        </row>
        <row r="444">
          <cell r="B444" t="str">
            <v>LC07</v>
          </cell>
        </row>
        <row r="448">
          <cell r="B448" t="str">
            <v>LC21</v>
          </cell>
        </row>
        <row r="449">
          <cell r="B449" t="str">
            <v>LC22</v>
          </cell>
        </row>
        <row r="450">
          <cell r="B450" t="str">
            <v>LC23</v>
          </cell>
        </row>
        <row r="451">
          <cell r="B451" t="str">
            <v>LC24</v>
          </cell>
        </row>
        <row r="452">
          <cell r="B452" t="str">
            <v>LC25</v>
          </cell>
        </row>
        <row r="453">
          <cell r="B453" t="str">
            <v>LC26</v>
          </cell>
        </row>
        <row r="454">
          <cell r="B454" t="str">
            <v>LC27</v>
          </cell>
        </row>
        <row r="458">
          <cell r="B458" t="str">
            <v>LC31</v>
          </cell>
        </row>
        <row r="459">
          <cell r="B459" t="str">
            <v>LC32</v>
          </cell>
        </row>
        <row r="460">
          <cell r="B460" t="str">
            <v>LC33</v>
          </cell>
        </row>
        <row r="461">
          <cell r="B461" t="str">
            <v>LC34</v>
          </cell>
        </row>
        <row r="462">
          <cell r="B462" t="str">
            <v>LC35</v>
          </cell>
        </row>
        <row r="463">
          <cell r="B463" t="str">
            <v>LC36</v>
          </cell>
        </row>
        <row r="468">
          <cell r="B468" t="str">
            <v>LC60</v>
          </cell>
        </row>
        <row r="469">
          <cell r="B469" t="str">
            <v>LC61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6">
          <cell r="B36">
            <v>0</v>
          </cell>
          <cell r="C36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2">
          <cell r="D2">
            <v>0</v>
          </cell>
        </row>
      </sheetData>
      <sheetData sheetId="40"/>
      <sheetData sheetId="41"/>
      <sheetData sheetId="42">
        <row r="2">
          <cell r="D2">
            <v>0</v>
          </cell>
        </row>
      </sheetData>
      <sheetData sheetId="43"/>
      <sheetData sheetId="44"/>
      <sheetData sheetId="45">
        <row r="2">
          <cell r="D2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M_Sheet"/>
      <sheetName val="Thong_tin"/>
      <sheetName val="Danh_muc"/>
      <sheetName val="DM"/>
      <sheetName val="Dieu_chinh"/>
      <sheetName val="Chi_tiet"/>
      <sheetName val="Sai_sotKDC"/>
      <sheetName val="Soat_xet"/>
      <sheetName val="Tong_hop"/>
      <sheetName val="BiaBC"/>
      <sheetName val="BCBGD"/>
      <sheetName val="XD_BCKT"/>
      <sheetName val="BCKT-MS01"/>
      <sheetName val="BCKT-MS02"/>
      <sheetName val="BCKT-MS03"/>
      <sheetName val="BCKT-MS06"/>
      <sheetName val="BCKT-MS07"/>
      <sheetName val="BCKT-MS08"/>
      <sheetName val="BCKT-MS09"/>
      <sheetName val="BCKT-MS10"/>
      <sheetName val="BCKT-MS11"/>
      <sheetName val="BCKT-MS12"/>
      <sheetName val="CDKT"/>
      <sheetName val="KQKD"/>
      <sheetName val="LCTT"/>
      <sheetName val="LCGT"/>
      <sheetName val="LCBTCP"/>
      <sheetName val="KN_CPBQ"/>
      <sheetName val="KT_CPBQ"/>
      <sheetName val="Du_lieu"/>
      <sheetName val="CT_LCTT"/>
      <sheetName val="CT_LCGT"/>
      <sheetName val="QTTNDN"/>
      <sheetName val="Doi_chieu"/>
      <sheetName val="Thuyet_minh"/>
      <sheetName val="TM_TSCDHH"/>
      <sheetName val="TM_TSCDTTC"/>
      <sheetName val="TM_TSCDVH"/>
      <sheetName val="TM_VCSH"/>
      <sheetName val="TM_BCBPKD"/>
      <sheetName val="TM_BCBPDL"/>
      <sheetName val="Phan_tich"/>
      <sheetName val="Trong_yeu"/>
      <sheetName val="TM_ChenhLechTK"/>
      <sheetName val="TM_ChenhLechCT"/>
      <sheetName val="SoDKHN"/>
      <sheetName val="Khai bao"/>
    </sheetNames>
    <sheetDataSet>
      <sheetData sheetId="0" refreshError="1"/>
      <sheetData sheetId="1" refreshError="1"/>
      <sheetData sheetId="2">
        <row r="8">
          <cell r="D8" t="str">
            <v>Công ty Cổ phần ABC</v>
          </cell>
        </row>
        <row r="12">
          <cell r="D12" t="str">
            <v>cho năm tài chính kết thúc ngày 31/12/2013</v>
          </cell>
        </row>
        <row r="20">
          <cell r="D20" t="str">
            <v>VND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09">
          <cell r="S209">
            <v>0</v>
          </cell>
          <cell r="AG209">
            <v>0</v>
          </cell>
        </row>
        <row r="306">
          <cell r="S306">
            <v>0</v>
          </cell>
          <cell r="AG306">
            <v>0</v>
          </cell>
        </row>
        <row r="377">
          <cell r="S377">
            <v>0</v>
          </cell>
          <cell r="AG377">
            <v>0</v>
          </cell>
        </row>
        <row r="418">
          <cell r="S418">
            <v>0</v>
          </cell>
          <cell r="AG418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6787CWFASE2CASE2_00"/>
      <sheetName val="Tro giup"/>
      <sheetName val="조명시설"/>
      <sheetName val="Sheet1"/>
      <sheetName val="DG"/>
      <sheetName val="ptnc"/>
      <sheetName val="ptvl"/>
      <sheetName val="ptm"/>
      <sheetName val="THDZ0,4"/>
      <sheetName val="TH DZ35"/>
      <sheetName val="THTram"/>
      <sheetName val="RAB AR&amp;STR"/>
      <sheetName val="Earthwork"/>
      <sheetName val="Input"/>
      <sheetName val="DANHPHAP"/>
      <sheetName val="chi tiet TBA"/>
      <sheetName val="chi tiet C"/>
      <sheetName val="Don gia"/>
      <sheetName val="SILICATE"/>
      <sheetName val="Don gia chi tiet"/>
      <sheetName val="DC"/>
      <sheetName val="NL"/>
      <sheetName val="DON GIA TRAM (3)"/>
      <sheetName val="dongia"/>
      <sheetName val="TONGKE-HT"/>
      <sheetName val="DON GIA CAN THO"/>
      <sheetName val="TinhGiaMTC"/>
      <sheetName val="TinhGiaNC"/>
      <sheetName val="공통가설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물량표S"/>
      <sheetName val="DATA"/>
      <sheetName val="Customize Your Purchase Order"/>
      <sheetName val="DGTH"/>
      <sheetName val="Control"/>
      <sheetName val="THVATTU"/>
      <sheetName val="HĐ ngoài"/>
      <sheetName val="XT_Buoc 3"/>
      <sheetName val="dongia (2)"/>
      <sheetName val="BG"/>
      <sheetName val="FitOutConfCentre"/>
      <sheetName val="#REF"/>
      <sheetName val="내역서"/>
      <sheetName val="KLHT"/>
      <sheetName val="CHITIET VL-NC-TT -1p"/>
      <sheetName val="CHITIET VL-NC-TT-3p"/>
      <sheetName val="TONG HOP VL-NC TT"/>
      <sheetName val="TDTKP1"/>
      <sheetName val="KPVC-BD "/>
      <sheetName val="Mall"/>
      <sheetName val="Du_lieu"/>
      <sheetName val="gvl"/>
      <sheetName val="RAB_AR&amp;STR"/>
      <sheetName val="chi_tiet_TBA"/>
      <sheetName val="chi_tiet_C"/>
      <sheetName val="Customize_Your_Purchase_Order"/>
      <sheetName val="Shdet1"/>
      <sheetName val="402"/>
      <sheetName val="7606 DZ"/>
      <sheetName val="VL,NC,MTC"/>
      <sheetName val="CTG"/>
      <sheetName val="실행철강하도"/>
      <sheetName val="dnc4"/>
      <sheetName val="project management"/>
      <sheetName val="SITE-E"/>
      <sheetName val="침하계"/>
      <sheetName val="BETON"/>
      <sheetName val="갑지"/>
      <sheetName val="24-ACMV"/>
      <sheetName val="chitimc"/>
      <sheetName val="giathanh1"/>
      <sheetName val="Adix A"/>
      <sheetName val="S-curve "/>
      <sheetName val="THVT"/>
      <sheetName val="DONVIBAN"/>
      <sheetName val="NGUON"/>
      <sheetName val="P"/>
      <sheetName val="So doi chieu LC"/>
      <sheetName val="phuluc1"/>
      <sheetName val="MAIN GATE HOUSE"/>
      <sheetName val="PU_ITALY_2"/>
      <sheetName val="TH_DZ352"/>
      <sheetName val="Tro_giup2"/>
      <sheetName val="DON_GIA_CAN_THO2"/>
      <sheetName val="Don_gia_chi_tiet"/>
      <sheetName val="Commercial value"/>
      <sheetName val="VL"/>
      <sheetName val="CBKC-110"/>
      <sheetName val="NC"/>
      <sheetName val="O20"/>
      <sheetName val="CAT_5"/>
      <sheetName val="BQMP"/>
      <sheetName val="산근"/>
      <sheetName val="inter"/>
      <sheetName val="대비"/>
      <sheetName val="REINF."/>
      <sheetName val="SKETCH"/>
      <sheetName val="LOADS"/>
      <sheetName val="Titles"/>
      <sheetName val="Rates 2009"/>
      <sheetName val="SL"/>
      <sheetName val="집계표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Dulieu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Du toan"/>
      <sheetName val="Keothep"/>
      <sheetName val="Re-bar"/>
      <sheetName val="DLDTLN"/>
      <sheetName val="TH_CNO"/>
      <sheetName val="NK_CHUNG"/>
      <sheetName val="차액보증"/>
      <sheetName val="Config"/>
      <sheetName val="DMCP"/>
      <sheetName val="HS_TDT"/>
      <sheetName val="Bang KL"/>
      <sheetName val="TONG HOP VL-NC"/>
      <sheetName val="lam-moi"/>
      <sheetName val="ALLOWANCE"/>
      <sheetName val="MH RATE"/>
      <sheetName val="Sheet3"/>
      <sheetName val="KPTH-T12"/>
      <sheetName val="Thamgia-T10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May"/>
      <sheetName val="금융비용"/>
      <sheetName val="입찰안"/>
      <sheetName val="K95"/>
      <sheetName val="K98"/>
      <sheetName val="PROFILE"/>
      <sheetName val="Đầu vào"/>
      <sheetName val="Ts"/>
      <sheetName val="EXTERNAL"/>
      <sheetName val="WT-LIST"/>
      <sheetName val="PTDG"/>
      <sheetName val="LaborPY"/>
      <sheetName val="LaborKH"/>
      <sheetName val="Equip "/>
      <sheetName val="Material"/>
      <sheetName val="A1.CN"/>
      <sheetName val="DG thep ma kem"/>
      <sheetName val="dm366"/>
      <sheetName val="DG-VL"/>
      <sheetName val="PTDGCT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ironmongery"/>
      <sheetName val="CT vat lieu"/>
      <sheetName val="vcdngan"/>
      <sheetName val="366"/>
      <sheetName val="Trạm biến áp"/>
      <sheetName val="Đơn Giá "/>
      <sheetName val="TBA"/>
      <sheetName val="DM 6061"/>
      <sheetName val="Gia"/>
      <sheetName val="damgiua"/>
      <sheetName val="dgct"/>
      <sheetName val="Chenh lech vat tu"/>
      <sheetName val="Diện tích"/>
      <sheetName val="1_Khái toán"/>
      <sheetName val="TONG HOP T5 1998"/>
      <sheetName val="Chi tiet XD TBA"/>
      <sheetName val="Giá"/>
      <sheetName val="DM1776"/>
      <sheetName val="DM228"/>
      <sheetName val="DM4970"/>
      <sheetName val="Camay_DP"/>
      <sheetName val="DM6061"/>
      <sheetName val="Luong2"/>
      <sheetName val="DM"/>
      <sheetName val="DG DZ"/>
      <sheetName val="DG TBA"/>
      <sheetName val="DGXD"/>
      <sheetName val="DTOAN"/>
      <sheetName val="CT-35"/>
      <sheetName val="CT-0.4KV"/>
      <sheetName val="rate material"/>
      <sheetName val="負荷集計（断熱不燃）"/>
      <sheetName val="KL Chi tiết Xây tô"/>
      <sheetName val="Bill 1_Quy dinh chung"/>
      <sheetName val="1.R18 BF"/>
      <sheetName val="A"/>
      <sheetName val="G"/>
      <sheetName val="F-B"/>
      <sheetName val="H-J"/>
      <sheetName val="6.External works-R18"/>
      <sheetName val="Phan khai KLuong"/>
      <sheetName val="Duphong"/>
      <sheetName val="Data Input"/>
      <sheetName val="dg7606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DGsuyrong"/>
      <sheetName val="PhanTichVua"/>
      <sheetName val="PhanTichVT"/>
      <sheetName val="KhoiluongDT"/>
      <sheetName val="7606-TBA"/>
      <sheetName val="7606-ĐZ"/>
      <sheetName val="07Base Cost"/>
      <sheetName val="Chi tiet KL"/>
      <sheetName val="Tổng hợp KL"/>
      <sheetName val="Equipment"/>
      <sheetName val="DT_THAU"/>
      <sheetName val="말뚝지지력산정"/>
      <sheetName val="04 - XUONG DET B"/>
      <sheetName val="CTGX"/>
      <sheetName val="CTG-1"/>
      <sheetName val="BM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base"/>
      <sheetName val="DGG"/>
      <sheetName val="INDEX"/>
      <sheetName val="Area Cal"/>
      <sheetName val="PAGE 1"/>
      <sheetName val="GAEYO"/>
      <sheetName val="Barrem"/>
      <sheetName val="INFO"/>
      <sheetName val="Summary"/>
      <sheetName val="Loại Vật tư"/>
      <sheetName val="DM 67"/>
      <sheetName val="Đầu tư"/>
      <sheetName val="DTICH"/>
      <sheetName val="tonghop"/>
      <sheetName val="DATA2"/>
      <sheetName val="Cửa"/>
      <sheetName val="Sheet2"/>
      <sheetName val="CE(E)"/>
      <sheetName val="CE(M)"/>
      <sheetName val="Project Data"/>
      <sheetName val="chiettinh"/>
      <sheetName val="실행"/>
      <sheetName val="6787CWFASE2CASE2_00.xls"/>
      <sheetName val="T&amp;D"/>
      <sheetName val="list"/>
      <sheetName val="BIDDING-SUM"/>
      <sheetName val="Duc_bk"/>
      <sheetName val="갑지1"/>
      <sheetName val="NVL"/>
      <sheetName val="????"/>
      <sheetName val="???S"/>
      <sheetName val="???"/>
      <sheetName val="??"/>
      <sheetName val="HÐ ngoài"/>
      <sheetName val="??????"/>
      <sheetName val="HÐ_ngoài"/>
      <sheetName val="KHOI LUONG"/>
      <sheetName val="Xay lapduongR3"/>
      <sheetName val="CANDOI"/>
      <sheetName val="MATK"/>
      <sheetName val="NHATKY"/>
      <sheetName val="Standardwerte"/>
      <sheetName val="BKBANRA"/>
      <sheetName val="BKMUAVAO"/>
      <sheetName val="Cp&gt;10-Ln&lt;10"/>
      <sheetName val="Ln&lt;20"/>
      <sheetName val="EIRR&gt;1&lt;1"/>
      <sheetName val="EIRR&gt; 2"/>
      <sheetName val="EIRR&lt;2"/>
      <sheetName val="DL"/>
      <sheetName val="DTXD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PEDESB"/>
      <sheetName val="TH Vat tu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LEGEND"/>
      <sheetName val="6PILE  (돌출)"/>
      <sheetName val="6MONTHS"/>
      <sheetName val="DTXL"/>
      <sheetName val="gia cong tac"/>
      <sheetName val="____"/>
      <sheetName val="Measure 1306"/>
      <sheetName val="0"/>
      <sheetName val="PRI-LS"/>
      <sheetName val="NKC6"/>
      <sheetName val="Cước VC + ĐM CP Tư vấn"/>
      <sheetName val="Hệ số"/>
      <sheetName val="Door and window"/>
      <sheetName val="DETAIL "/>
      <sheetName val="GV1-D13 (Casement door)"/>
      <sheetName val="MTL$-INTER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Gia vat tu"/>
      <sheetName val="bt19"/>
      <sheetName val="Btr25"/>
      <sheetName val="CPDDII"/>
      <sheetName val="Note"/>
      <sheetName val="DLdauvao"/>
      <sheetName val="CẤP THOÁT NƯỚC"/>
      <sheetName val="토공"/>
      <sheetName val="Harga ME "/>
      <sheetName val="Alat"/>
      <sheetName val="Analisa Gabungan"/>
      <sheetName val="Sub"/>
      <sheetName val="Sheet4"/>
      <sheetName val="Supplier"/>
      <sheetName val=" Bill.5-Earthing.2 - Add Works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DG-TNHC-85"/>
      <sheetName val="Dia"/>
      <sheetName val="SP10"/>
      <sheetName val="THDT goi thau TB"/>
      <sheetName val="Tien do TV"/>
      <sheetName val="QD957"/>
      <sheetName val="Isolasi Luar Dalam"/>
      <sheetName val="Isolasi Luar"/>
      <sheetName val="bridge # 1"/>
      <sheetName val="DK"/>
      <sheetName val="Chenh lech ca may"/>
      <sheetName val="TLg CN&amp;Laixe"/>
      <sheetName val="TLg CN&amp;Laixe (2)"/>
      <sheetName val="TLg Laitau"/>
      <sheetName val="TLg Laitau (2)"/>
      <sheetName val="HMCV"/>
      <sheetName val="CauKien"/>
      <sheetName val="Bang 3_Chi tiet phan Dz"/>
      <sheetName val="TH MTC"/>
      <sheetName val="TH N.Cong"/>
      <sheetName val="TK-COL"/>
      <sheetName val="02_Dulieu_Cua"/>
      <sheetName val="XD"/>
      <sheetName val="Cuongricc"/>
      <sheetName val="KL san lap"/>
      <sheetName val="Chi tiet"/>
      <sheetName val="CTKL KTX HT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___S"/>
      <sheetName val="___"/>
      <sheetName val="__"/>
      <sheetName val="______"/>
      <sheetName val="Setting"/>
      <sheetName val="Settings"/>
      <sheetName val="I-KAMAR"/>
      <sheetName val="DG7606DZ"/>
      <sheetName val="HVAC.BLOCK B4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PS-Labour_M"/>
      <sheetName val="GTTBA"/>
      <sheetName val="新规"/>
      <sheetName val="Master"/>
      <sheetName val="NHÀ NHẬP LIỆU"/>
      <sheetName val="MÓNG SILO"/>
      <sheetName val="daf-3(OK)"/>
      <sheetName val="daf-7(OK)"/>
      <sheetName val="subcon sched"/>
      <sheetName val="PRE (E)"/>
      <sheetName val="Hardware"/>
      <sheetName val="HWW"/>
      <sheetName val="Z"/>
      <sheetName val="Chi tiet lan can"/>
      <sheetName val="2.Chiet tinh"/>
      <sheetName val="BẢNG KHỐI LƯỢNG TỔNG HỢP"/>
      <sheetName val="TH_CPTB"/>
      <sheetName val="CP Khac cuoc VC"/>
      <sheetName val="Code"/>
      <sheetName val="Budget Code"/>
      <sheetName val="SourceData"/>
      <sheetName val="SEX"/>
      <sheetName val="Tong du toan"/>
      <sheetName val="Bill 2 - ketcau"/>
      <sheetName val="A1"/>
      <sheetName val="PU_ITALY_4"/>
      <sheetName val="RAB_AR&amp;STR2"/>
      <sheetName val="chi_tiet_TBA2"/>
      <sheetName val="chi_tiet_C2"/>
      <sheetName val="Tro_giup4"/>
      <sheetName val="TH_DZ354"/>
      <sheetName val="Customize_Your_Purchase_Order2"/>
      <sheetName val="CHITIET_VL-NC-TT_-1p2"/>
      <sheetName val="CHITIET_VL-NC-TT-3p1"/>
      <sheetName val="TONG_HOP_VL-NC_TT2"/>
      <sheetName val="KPVC-BD_2"/>
      <sheetName val="Don_gia2"/>
      <sheetName val="DON_GIA_CAN_THO4"/>
      <sheetName val="DON_GIA_TRAM_(3)2"/>
      <sheetName val="HĐ_ngoài1"/>
      <sheetName val="XT_Buoc_31"/>
      <sheetName val="dongia_(2)1"/>
      <sheetName val="Don_gia_chi_tiet2"/>
      <sheetName val="7606_DZ2"/>
      <sheetName val="project_management1"/>
      <sheetName val="Adix_A1"/>
      <sheetName val="S-curve_1"/>
      <sheetName val="REINF_1"/>
      <sheetName val="Rates_20091"/>
      <sheetName val="Du_toan1"/>
      <sheetName val="So_doi_chieu_LC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Đầu_vào"/>
      <sheetName val="Equip_"/>
      <sheetName val="A1_CN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KL_Chi_tiết_Xây_tô"/>
      <sheetName val="rate_material"/>
      <sheetName val="07Base_Cost"/>
      <sheetName val="DM_67"/>
      <sheetName val="Project_Data"/>
      <sheetName val="Phan_khai_KLuong"/>
      <sheetName val="Bill_1_Quy_dinh_chung"/>
      <sheetName val="1_R18_BF"/>
      <sheetName val="6_External_works-R18"/>
      <sheetName val="04_-_XUONG_DET_B"/>
      <sheetName val="Elect_(3)"/>
      <sheetName val="plan&amp;section_of_foundation"/>
      <sheetName val="design_criteria"/>
      <sheetName val="Bond_수수료_계산_포맷"/>
      <sheetName val="ITB_COST"/>
      <sheetName val="PAGE_1"/>
      <sheetName val="6787CWFASE2CASE2_00_xls"/>
      <sheetName val="Xay_lapduongR3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Area_Cal"/>
      <sheetName val="EIRR&gt;_2"/>
      <sheetName val="Đầu_tư"/>
      <sheetName val="Loại_Vật_tư"/>
      <sheetName val="dg_tphcm"/>
      <sheetName val="T_KÊ_K_CẤU"/>
      <sheetName val="Bill_01_-_CTN"/>
      <sheetName val="CT1"/>
      <sheetName val="NHATKYC"/>
      <sheetName val="BCX_NL"/>
      <sheetName val="IBASE"/>
      <sheetName val="DANHMUC"/>
      <sheetName val="DonGiaLD"/>
      <sheetName val="13-Cốt thép (10mm&lt;D≤18mm) FO16"/>
      <sheetName val="du lieu du toan"/>
      <sheetName val="4_PTDG"/>
      <sheetName val="A1,_May"/>
      <sheetName val="Vat_lieu"/>
      <sheetName val="Door_and_window"/>
      <sheetName val="6PILE__(돌출)"/>
      <sheetName val="HÐ_ngoài1"/>
      <sheetName val="wsLists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7606"/>
      <sheetName val="BOQ THAN"/>
      <sheetName val="DL ĐẦU VÀO"/>
      <sheetName val="Unit_Div6"/>
      <sheetName val="Purchase Order"/>
      <sheetName val="DongiaVL2"/>
      <sheetName val="D &amp; W sizes"/>
      <sheetName val="CTEMCOST"/>
      <sheetName val="Active"/>
      <sheetName val="PMS"/>
      <sheetName val="1_MV"/>
      <sheetName val="Analisa &amp; Upah"/>
      <sheetName val="Main"/>
      <sheetName val="dghn"/>
      <sheetName val="경비2내역"/>
      <sheetName val="BOQ건축"/>
      <sheetName val="Ktmo"/>
      <sheetName val="Formwork"/>
      <sheetName val="DETAIL_"/>
      <sheetName val="Du lieu"/>
      <sheetName val="Cash2"/>
      <sheetName val="Markup"/>
      <sheetName val="BocXep"/>
      <sheetName val="VCBo"/>
      <sheetName val="VCThuy"/>
      <sheetName val="Phan tich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INPUT-STR"/>
      <sheetName val="REF"/>
      <sheetName val="CT Thang Mo"/>
      <sheetName val="CT  PL"/>
      <sheetName val="DTCTchung"/>
      <sheetName val="cash budget"/>
      <sheetName val="Criteria"/>
      <sheetName val="ICGSIP"/>
      <sheetName val="dongia _2_"/>
      <sheetName val="GOC-KO IN"/>
      <sheetName val="TMinh"/>
      <sheetName val="MAU 8A"/>
      <sheetName val="MAU 8B"/>
      <sheetName val="MAU 9"/>
      <sheetName val="MAU 10"/>
      <sheetName val="TLuong"/>
      <sheetName val="FAB별"/>
      <sheetName val="Thép CKN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A6"/>
      <sheetName val="VC.xd"/>
      <sheetName val="Gia.VLTB"/>
      <sheetName val="B.Luong"/>
      <sheetName val="C.May"/>
      <sheetName val="Dlieu dau vao"/>
      <sheetName val="Income Statement"/>
      <sheetName val="Shareholders' Equity"/>
      <sheetName val="BANCO (2)"/>
      <sheetName val="MT DPin (2)"/>
      <sheetName val="OT"/>
      <sheetName val="外気負荷"/>
      <sheetName val="02. PTDG"/>
      <sheetName val="Chiết tính"/>
      <sheetName val="TB NẶNG"/>
      <sheetName val="Du tru CP-Bieu 01"/>
      <sheetName val="Don gia (khong in)"/>
      <sheetName val="DK1.Don gia"/>
      <sheetName val="trialth"/>
      <sheetName val="1"/>
      <sheetName val="PCCC"/>
      <sheetName val="소일위대가코드표"/>
      <sheetName val="DATA1"/>
      <sheetName val="1.MONG 1-2"/>
      <sheetName val="Gia_vat_tu1"/>
      <sheetName val="Income_Statement1"/>
      <sheetName val="Shareholders'_Equity1"/>
      <sheetName val="Income_Statement"/>
      <sheetName val="Shareholders'_Equity"/>
      <sheetName val="THEP TAM"/>
      <sheetName val="THEP HÌNH"/>
      <sheetName val="THEP HINH"/>
      <sheetName val="XA GO"/>
      <sheetName val="BANG TRA"/>
      <sheetName val="wk prgs"/>
      <sheetName val="sort2"/>
      <sheetName val="Ma don vi"/>
      <sheetName val="bang cc"/>
      <sheetName val="MTL(AG)"/>
      <sheetName val="DM7606"/>
      <sheetName val="XDM22"/>
      <sheetName val="dm 366"/>
      <sheetName val="DM 6060"/>
      <sheetName val="DinhMuc"/>
      <sheetName val="Gvlch"/>
      <sheetName val="DGLX"/>
      <sheetName val="TK-TUBU"/>
      <sheetName val="DGIA"/>
      <sheetName val="TT"/>
      <sheetName val="DM_4970"/>
      <sheetName val="Dự thầu"/>
      <sheetName val="Nhap VT oto"/>
      <sheetName val="Hao phí"/>
      <sheetName val="Structure data"/>
      <sheetName val="Dongiaxd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Budget_Code"/>
      <sheetName val="CP_Khac_cuoc_VC"/>
      <sheetName val="subcon_sched1"/>
      <sheetName val="Bang_3_Chi_tiet_phan_Dz1"/>
      <sheetName val="KHOI_LUONG1"/>
      <sheetName val="HVAC_BLOCK_B41"/>
      <sheetName val="PRE_(E)1"/>
      <sheetName val="BẢNG_KHỐI_LƯỢNG_TỔNG_HỢP"/>
      <sheetName val="CTKL_KTX_HT"/>
      <sheetName val="2_Chiet_tinh"/>
      <sheetName val="Tong_du_toan"/>
      <sheetName val="Bill_2_-_ketcau"/>
      <sheetName val="NHÀ_NHẬP_LIỆU"/>
      <sheetName val="MÓNG_SILO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đọc số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CP Du phong"/>
      <sheetName val="THCP Lap dat"/>
      <sheetName val="THCP xay dung"/>
      <sheetName val="Tong hop kinh phi"/>
      <sheetName val="QD79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on gia chi tiet DIEN 2"/>
      <sheetName val="Specs"/>
      <sheetName val="Data.Wall"/>
      <sheetName val="2.1Warehouse 1"/>
      <sheetName val="AG Pipe Qty Analysis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Tongke"/>
      <sheetName val="Ｎｏ.13"/>
      <sheetName val="tra_vat_lieu"/>
      <sheetName val="DGchitiet "/>
      <sheetName val="CP HMC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CHI PHI"/>
      <sheetName val="MDA"/>
      <sheetName val="MKH"/>
      <sheetName val="DMNV"/>
      <sheetName val="DMNCC"/>
      <sheetName val="MHH"/>
      <sheetName val="TK chi tiet"/>
      <sheetName val="Brick"/>
      <sheetName val="Bill 2-Road HR2"/>
      <sheetName val="Bill 3 - Softscape HR2"/>
      <sheetName val="見積書"/>
      <sheetName val="TNHC"/>
      <sheetName val="CĂN HỘ T16-17 "/>
      <sheetName val="TRỤC ĐỨNG THOÁT BẨN T15-17"/>
      <sheetName val="TRỤC ĐỨNG TM T15-17"/>
      <sheetName val="nkc"/>
      <sheetName val="Móng, nền "/>
      <sheetName val="1.Requisition(E)"/>
      <sheetName val="CDTK"/>
      <sheetName val="TONG HOP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phan tic chi tiet"/>
      <sheetName val="Thongtin"/>
      <sheetName val="DG 1426"/>
      <sheetName val="Dongia7606new"/>
      <sheetName val="Theo doi Doanh thu 2017"/>
      <sheetName val="KL THEP  GIAM DO DUNG COUPLER"/>
      <sheetName val="01.KL THÉP NHẬP VỀ"/>
      <sheetName val="BBLMHT"/>
      <sheetName val="2. NT VLDV"/>
      <sheetName val="GHI CHU"/>
      <sheetName val="1.BB LMHT"/>
      <sheetName val="VT190111"/>
      <sheetName val="gui BKCT"/>
      <sheetName val="Gia vat lieu"/>
      <sheetName val="Precios unitarios AXH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"/>
      <sheetName val="물량표"/>
      <sheetName val="NHAP"/>
      <sheetName val="MB.DT.02"/>
      <sheetName val="3. CNT"/>
      <sheetName val="unit price list(M)"/>
      <sheetName val="DMCT"/>
      <sheetName val="So lieu chung"/>
      <sheetName val="Rate1"/>
      <sheetName val="TH VL, NC, DDHT Thanhphuoc"/>
      <sheetName val="전기"/>
      <sheetName val="lam_moi"/>
      <sheetName val="Chi tiet -tong 9 thang"/>
      <sheetName val="BangMa"/>
      <sheetName val="BẢNG ÁP GIÁ (in)"/>
      <sheetName val="NT (KL) IN"/>
      <sheetName val="DOM D2"/>
      <sheetName val="nhà ăn"/>
      <sheetName val="Công nhật"/>
      <sheetName val="btkt cột"/>
      <sheetName val="THÉP"/>
      <sheetName val="Bê tông bảo vệ"/>
      <sheetName val="01. Data"/>
      <sheetName val="Neo, nối cốt thép dầm, cột"/>
      <sheetName val="Uốn móc cốt thép"/>
      <sheetName val="Tiêu chuẩn cốt thép"/>
      <sheetName val="Steel"/>
      <sheetName val="Order"/>
      <sheetName val="유림콘도"/>
      <sheetName val="유림골조"/>
      <sheetName val="Btra"/>
      <sheetName val="Door_and_window1"/>
      <sheetName val="Ma_don_vi"/>
      <sheetName val="bang_cc"/>
      <sheetName val="NEW-PANEL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THKL"/>
      <sheetName val="DGCT SƠN BẢ TƯỜNG NLV"/>
      <sheetName val="DGKL TRẦN NHN"/>
      <sheetName val="7606(TT01)"/>
      <sheetName val="7606TBA(TT01)"/>
      <sheetName val="DG7606TBA"/>
      <sheetName val="CTTN"/>
      <sheetName val="Luong_Cnhan"/>
      <sheetName val="DMTN"/>
      <sheetName val="VatTU"/>
      <sheetName val="INF"/>
      <sheetName val="MTO REV.2(ARMOR)"/>
      <sheetName val="ReadFirst"/>
      <sheetName val="DGiaT"/>
      <sheetName val="DGiaTN"/>
      <sheetName val="DuToan"/>
      <sheetName val="T2-3"/>
      <sheetName val="Cotthep.NPT"/>
      <sheetName val="vl.nc.mtc"/>
      <sheetName val="DMSC"/>
      <sheetName val="Heso DZ"/>
      <sheetName val="DGiaDZ"/>
      <sheetName val="gtrinh"/>
      <sheetName val="dgtn"/>
      <sheetName val="DM_336cai tao"/>
      <sheetName val="A6,MAY"/>
      <sheetName val="DG_BINH THUAN"/>
      <sheetName val="Data-year2001i"/>
      <sheetName val="Tien Thuong"/>
      <sheetName val="NC XL 6T cuoi 01 CTy"/>
      <sheetName val="Data -6T dau"/>
      <sheetName val="Cong 6T"/>
      <sheetName val="KL thep lam sat"/>
      <sheetName val="Open"/>
      <sheetName val="Function"/>
      <sheetName val="Noisuy-LLL"/>
      <sheetName val="M1-XL-1c"/>
      <sheetName val="B3A - TOWER A"/>
      <sheetName val="Annex B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TOSHIBA-Structure"/>
      <sheetName val="1.Civil (Org)"/>
      <sheetName val="villa"/>
      <sheetName val="BQ-E20-02(Rp)"/>
      <sheetName val="F4-F7"/>
      <sheetName val="DM-VNT ko sd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125x125"/>
      <sheetName val="Bảng đo bóc KL OLK-09"/>
      <sheetName val="6.3 CHI TIET OLK-09"/>
      <sheetName val="PERSONNELIST"/>
      <sheetName val="날개벽수량표"/>
      <sheetName val="Pric塅䕃"/>
      <sheetName val="1. Office"/>
      <sheetName val="KHOI LUONG15-4"/>
      <sheetName val="HS"/>
      <sheetName val="Tong hop vat tu"/>
      <sheetName val="1.San "/>
      <sheetName val="음료실행"/>
      <sheetName val="내역서을지"/>
      <sheetName val="TLG Type"/>
      <sheetName val="XLR_NoRangeSheet"/>
      <sheetName val="工艺分类库"/>
      <sheetName val="Assumptions"/>
      <sheetName val="DLDT"/>
      <sheetName val="Dgia vat tu"/>
      <sheetName val="Don gia_III"/>
      <sheetName val="D÷ liÖu"/>
      <sheetName val="Dot 4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HRG BHN"/>
      <sheetName val="Duthau"/>
      <sheetName val="CĂN ĐH"/>
      <sheetName val="Chi phi van chuyen"/>
      <sheetName val="TH các CC"/>
      <sheetName val="#REF!"/>
      <sheetName val="Div26 - Elect"/>
      <sheetName val="7.Khau tru "/>
      <sheetName val="Q.A01.2-Sh"/>
      <sheetName val="cuocbd"/>
      <sheetName val="CUOC"/>
      <sheetName val="개산공사비"/>
      <sheetName val="Gld"/>
      <sheetName val="Gxd"/>
      <sheetName val="Bieu gia HD"/>
      <sheetName val="DT hợp đồng"/>
      <sheetName val="Bảng KL đợt 1"/>
      <sheetName val="2.CDPS"/>
      <sheetName val="Danh mục"/>
      <sheetName val="4 CĂN"/>
      <sheetName val="Calculation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PNT_QUOT__3"/>
      <sheetName val="COAT_WRAP_QIOT__3"/>
      <sheetName val="BTK-Dai Hoc Kien Giang"/>
      <sheetName val="PV Graph Data"/>
      <sheetName val="GJ_06"/>
      <sheetName val="doanh thu"/>
      <sheetName val="Dutoan KL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Method_BouyancyFactor"/>
      <sheetName val="Method_PressureArea"/>
      <sheetName val="InputData"/>
      <sheetName val="B-2  (DPP)"/>
      <sheetName val="Huong dan"/>
      <sheetName val="Inputs_Sens"/>
      <sheetName val="IS_Sum_CM"/>
      <sheetName val="gia vt,nc,may"/>
      <sheetName val="datatt"/>
      <sheetName val="5.2.1 Đo bóc KL OLK-06"/>
      <sheetName val="Classification"/>
      <sheetName val="01-&gt;12"/>
      <sheetName val="Article"/>
      <sheetName val="DGIAgoi1"/>
      <sheetName val="Financ. Overview"/>
      <sheetName val="Toolbox"/>
      <sheetName val="TINH GIA - SAN XUAT Vertico"/>
      <sheetName val="COVER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Tổng hợp KPHM"/>
      <sheetName val="Cong"/>
      <sheetName val="Dinh muc"/>
      <sheetName val="TDTKP"/>
      <sheetName val="DK-KH"/>
      <sheetName val="Kyhieuloptratsonba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BANRA"/>
      <sheetName val="DZ 22KV"/>
      <sheetName val="Annual_CFs_Asset"/>
      <sheetName val="QUO"/>
      <sheetName val="PTVT"/>
      <sheetName val="GIÁ DỰ THẦU 30 CĂN"/>
      <sheetName val="BT3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Hệ_qố2"/>
      <sheetName val="EQT-ESTN"/>
      <sheetName val="DT"/>
      <sheetName val="Giathau"/>
      <sheetName val="KS tuyen"/>
      <sheetName val="THTL"/>
      <sheetName val="CP(dz)"/>
      <sheetName val="THCT"/>
      <sheetName val="Bang chiet tinh TBA"/>
      <sheetName val="DI_ESTI"/>
      <sheetName val="4.2.1 Đo bóc KL OLK-06"/>
      <sheetName val="4.1.1 CHI TIET OLK-06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Cash Flow"/>
      <sheetName val="Yield"/>
      <sheetName val="SUMDETAIL"/>
      <sheetName val="Factory"/>
      <sheetName val="Matchung"/>
      <sheetName val="BU LONG"/>
      <sheetName val="ĐNVT"/>
      <sheetName val="ĐNBL"/>
      <sheetName val="CTLK"/>
      <sheetName val="DT. NHA XUONG"/>
      <sheetName val="EQUIP LIST"/>
      <sheetName val="THKP957"/>
      <sheetName val="Tính giá NC"/>
      <sheetName val="Tiên lượng"/>
      <sheetName val="SL cước"/>
      <sheetName val="영동(D)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Gia VT-TB"/>
      <sheetName val="noi suy xa"/>
      <sheetName val="noi suy xa thu hoi"/>
      <sheetName val="CTDZTA(5)"/>
      <sheetName val="THONG SO"/>
      <sheetName val="Đơn giá chi tiết TN 39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Electrical Works"/>
      <sheetName val="H_T_ INCOMING SYSTEM"/>
      <sheetName val="Painting"/>
      <sheetName val="ABUT수량-A1"/>
      <sheetName val="Items"/>
      <sheetName val="Detail"/>
      <sheetName val="¥ "/>
      <sheetName val="KLall"/>
      <sheetName val="CAUDIT"/>
      <sheetName val="Thuyết minh"/>
      <sheetName val="Đơn giá máy"/>
      <sheetName val="dg-VTu"/>
      <sheetName val="DCQ"/>
      <sheetName val="DCS"/>
      <sheetName val="DD"/>
      <sheetName val="Bordereau"/>
      <sheetName val="係数"/>
      <sheetName val="8521"/>
      <sheetName val="Package1"/>
      <sheetName val="dulieumong"/>
      <sheetName val="현장별"/>
      <sheetName val="Tong DT"/>
      <sheetName val="phan tich don gia"/>
      <sheetName val="Bill No.1.6"/>
      <sheetName val="Bill No.1.10"/>
      <sheetName val="Bill No.3.3"/>
      <sheetName val="Bill No.1.4"/>
      <sheetName val="Bill No.1.7"/>
      <sheetName val="Summary Bill No. 3"/>
      <sheetName val="DI-ESTI"/>
      <sheetName val="Unit price"/>
      <sheetName val="Chiet tinh dz35"/>
      <sheetName val="DG3285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Don_gia_chi_tiet7"/>
      <sheetName val="project_management6"/>
      <sheetName val="Adix_A6"/>
      <sheetName val="S-curve_6"/>
      <sheetName val="REINF_6"/>
      <sheetName val="Rates_20096"/>
      <sheetName val="Du_toan6"/>
      <sheetName val="So_doi_chieu_LC6"/>
      <sheetName val="MAIN_GATE_HOUSE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Lcau_-_Lxuc6"/>
      <sheetName val="Đầu_vào5"/>
      <sheetName val="Equip_5"/>
      <sheetName val="A1_CN5"/>
      <sheetName val="DG_thep_ma_kem6"/>
      <sheetName val="CT_vat_lieu6"/>
      <sheetName val="Trạm_biến_áp5"/>
      <sheetName val="Đơn_Giá_5"/>
      <sheetName val="DM_60616"/>
      <sheetName val="TONG_HOP_T5_19985"/>
      <sheetName val="Chenh_lech_vat_tu5"/>
      <sheetName val="Diện_tích5"/>
      <sheetName val="1_Khái_toán5"/>
      <sheetName val="Chi_tiet_XD_TBA5"/>
      <sheetName val="DG_DZ6"/>
      <sheetName val="DG_TBA6"/>
      <sheetName val="CT-0_4KV5"/>
      <sheetName val="rate_material5"/>
      <sheetName val="KL_Chi_tiết_Xây_tô5"/>
      <sheetName val="04_-_XUONG_DET_B5"/>
      <sheetName val="Chi_tiet_KL5"/>
      <sheetName val="Tổng_hợp_KL5"/>
      <sheetName val="Bill_1_Quy_dinh_chung5"/>
      <sheetName val="1_R18_BF5"/>
      <sheetName val="6_External_works-R185"/>
      <sheetName val="07Base_Cost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Buy_vs__Lease_Car5"/>
      <sheetName val="Harga_ME_5"/>
      <sheetName val="Loại_Vật_tư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Bill_01_-_CTN5"/>
      <sheetName val="Bill_2_2_Villa_2_beds5"/>
      <sheetName val="dg_tphcm5"/>
      <sheetName val="Xay_lapduongR35"/>
      <sheetName val="EIRR&gt;_25"/>
      <sheetName val="DM_675"/>
      <sheetName val="Đầu_tư5"/>
      <sheetName val="6787CWFASE2CASE2_00_xls5"/>
      <sheetName val="Project_Data5"/>
      <sheetName val="Analisa_Gabungan5"/>
      <sheetName val="T_KÊ_K_CẤU5"/>
      <sheetName val="Data_Input6"/>
      <sheetName val="CẤP_THOÁT_NƯỚC5"/>
      <sheetName val="Cước_VC_+_ĐM_CP_Tư_vấn5"/>
      <sheetName val="Hệ_số5"/>
      <sheetName val="Vat_tu_XD5"/>
      <sheetName val="HÐ_ngoài6"/>
      <sheetName val="6PILE__(돌출)5"/>
      <sheetName val="THDT_goi_thau_TB5"/>
      <sheetName val="Tien_do_TV5"/>
      <sheetName val="Bill_02_-_Xay_gach-Pou_5"/>
      <sheetName val="Bill_03-Chống_thấm-Pou5"/>
      <sheetName val="Bill_04-Kim_loại-Pou5"/>
      <sheetName val="Bill_05_-_Hoan_thien-Pou_5"/>
      <sheetName val="Bill_02_-_Xay_gach-Tower5"/>
      <sheetName val="Bill_03-Chống_thấm-Tower5"/>
      <sheetName val="Bill_04-Kim_loại-Tower5"/>
      <sheetName val="Bill_05_-_Hoan_thien-Tower5"/>
      <sheetName val="KL-_KHAC5"/>
      <sheetName val="BILL_3_-_KẾT_CẤU_HẦM5"/>
      <sheetName val="PTĐG_LTBT5"/>
      <sheetName val="CTG-PRECHEx1_45"/>
      <sheetName val="CTG-AB_(2)5"/>
      <sheetName val="CTG-AB_(3)5"/>
      <sheetName val="CTG-PLP-1_085"/>
      <sheetName val="Pre_Đội_nhóm5"/>
      <sheetName val="Tower_-_Concrete_Works5"/>
      <sheetName val="Bill-04_ket_cau_thap-_UNI5"/>
      <sheetName val="TH_Vat_tu5"/>
      <sheetName val="4_PTDG5"/>
      <sheetName val="A1,_May5"/>
      <sheetName val="Vat_lieu5"/>
      <sheetName val="Bang_trong_luong_rieng_thep5"/>
      <sheetName val="gia_cong_tac5"/>
      <sheetName val="Measure_13065"/>
      <sheetName val="GV1-D13_(Casement_door)5"/>
      <sheetName val="Isolasi_Luar_Dalam5"/>
      <sheetName val="Isolasi_Luar5"/>
      <sheetName val="_Bill_5-Earthing_2_-_Add_Works5"/>
      <sheetName val="bridge_#_15"/>
      <sheetName val="PRE_(E)5"/>
      <sheetName val="final_list_20056"/>
      <sheetName val="LV_data5"/>
      <sheetName val="DETAIL_5"/>
      <sheetName val="ESTI_5"/>
      <sheetName val="Gia_vat_tu5"/>
      <sheetName val="TH_MTC5"/>
      <sheetName val="TH_N_Cong5"/>
      <sheetName val="Equipment_list_(PAC)5"/>
      <sheetName val="TINH_KHOI_LUONG5"/>
      <sheetName val="DATA_BASE5"/>
      <sheetName val="KL_san_lap5"/>
      <sheetName val="Chenh_lech_ca_may5"/>
      <sheetName val="TLg_CN&amp;Laixe5"/>
      <sheetName val="TLg_CN&amp;Laixe_(2)5"/>
      <sheetName val="TLg_Laitau5"/>
      <sheetName val="TLg_Laitau_(2)5"/>
      <sheetName val="Chi_tiet5"/>
      <sheetName val="Bang_3_Chi_tiet_phan_Dz5"/>
      <sheetName val="KHOI_LUONG5"/>
      <sheetName val="subcon_sched5"/>
      <sheetName val="Tong_du_toan4"/>
      <sheetName val="Bill_2_-_ketcau4"/>
      <sheetName val="CTKL_KTX_HT4"/>
      <sheetName val="CP_Khac_cuoc_VC4"/>
      <sheetName val="Budget_Code4"/>
      <sheetName val="HVAC_BLOCK_B45"/>
      <sheetName val="NHÀ_NHẬP_LIỆU4"/>
      <sheetName val="MÓNG_SILO4"/>
      <sheetName val="D_&amp;_W_sizes4"/>
      <sheetName val="2_Chiet_tinh4"/>
      <sheetName val="BẢNG_KHỐI_LƯỢNG_TỔNG_HỢP4"/>
      <sheetName val="Purchase_Order4"/>
      <sheetName val="Analisa_&amp;_Upah4"/>
      <sheetName val="Chi_tiet_lan_can4"/>
      <sheetName val="13-Cốt_thép_(10mm&lt;D≤18mm)_FO164"/>
      <sheetName val="du_lieu_du_toan4"/>
      <sheetName val="BOQ_THAN4"/>
      <sheetName val="DL_ĐẦU_VÀO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GOC-KO_IN4"/>
      <sheetName val="dongia__2_4"/>
      <sheetName val="Thép_CK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m_3662"/>
      <sheetName val="DM_60602"/>
      <sheetName val="Dlieu_dau_vao4"/>
      <sheetName val="02__PTDG4"/>
      <sheetName val="Chiết_tính4"/>
      <sheetName val="Don_gia_(khong_in)4"/>
      <sheetName val="DK1_Don_gia4"/>
      <sheetName val="1_MONG_1-24"/>
      <sheetName val="AG_Pipe_Qty_Analysis2"/>
      <sheetName val="Income_Statement4"/>
      <sheetName val="Shareholders'_Equity4"/>
      <sheetName val="VC_xd2"/>
      <sheetName val="Gia_VLTB2"/>
      <sheetName val="B_Luong2"/>
      <sheetName val="C_May2"/>
      <sheetName val="TB_NẶNG2"/>
      <sheetName val="Du_tru_CP-Bieu_012"/>
      <sheetName val="wk_prgs2"/>
      <sheetName val="đọc_số2"/>
      <sheetName val="Bill_No_3_-_Prov__Sum_(Ph2&amp;3)2"/>
      <sheetName val="TH_TN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Ma_don_vi2"/>
      <sheetName val="bang_cc2"/>
      <sheetName val="Bill_2-Road_HR22"/>
      <sheetName val="Bill_3_-_Softscape_HR22"/>
      <sheetName val="0__Input1"/>
      <sheetName val="Ｎｏ_132"/>
      <sheetName val="DGchitiet_2"/>
      <sheetName val="CĂN_HỘ_T16-17_2"/>
      <sheetName val="TRỤC_ĐỨNG_THOÁT_BẨN_T15-172"/>
      <sheetName val="TRỤC_ĐỨNG_TM_T15-172"/>
      <sheetName val="TK_chi_tiet2"/>
      <sheetName val="Nhap_VT_oto2"/>
      <sheetName val="Data_Wall2"/>
      <sheetName val="Dự_thầu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CP_HMC2"/>
      <sheetName val="2_1Warehouse_12"/>
      <sheetName val="Hao_phí2"/>
      <sheetName val="THEP_TAM2"/>
      <sheetName val="THEP_HÌNH2"/>
      <sheetName val="THEP_HINH2"/>
      <sheetName val="XA_GO2"/>
      <sheetName val="BANG_TRA2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Móng,_nền_2"/>
      <sheetName val="1_Requisition(E)2"/>
      <sheetName val="Theo_doi_Doanh_thu_20171"/>
      <sheetName val="DG_14261"/>
      <sheetName val="TONG_HOP2"/>
      <sheetName val="phan_tic_chi_tiet2"/>
      <sheetName val="gui_BKCT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1_2_Staff_Schedule1"/>
      <sheetName val="Gia_vat_lieu1"/>
      <sheetName val="Precios_unitarios_AXH1"/>
      <sheetName val="DM-VNT_ko_sd1"/>
      <sheetName val="3__CNT1"/>
      <sheetName val="unit_price_list(M)1"/>
      <sheetName val="Bill_Prelim-CDT1"/>
      <sheetName val="Bill_BPTC-CDT1"/>
      <sheetName val="Chi_tiết_BPTC1"/>
      <sheetName val="Bill_BPTC-CDT_(PA_MCT_CDT)1"/>
      <sheetName val="Chi_tiết_BPTC_(PA_MCT_CDT)1"/>
      <sheetName val="TH_VL,_NC,_DDHT_Thanhphuoc1"/>
      <sheetName val="So_lieu_chung1"/>
      <sheetName val="Bảng_đo_bóc_KL_OLK-091"/>
      <sheetName val="6_3_CHI_TIET_OLK-091"/>
      <sheetName val="KL_THEP__GIAM_DO_DUNG_COUPLER1"/>
      <sheetName val="01_KL_THÉP_NHẬP_VỀ1"/>
      <sheetName val="2__NT_VLDV1"/>
      <sheetName val="GHI_CHU1"/>
      <sheetName val="1_BB_LMHT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Cotthep_NPT1"/>
      <sheetName val="vl_nc_mtc1"/>
      <sheetName val="1__Office1"/>
      <sheetName val="KHOI_LUONG15-41"/>
      <sheetName val="Dgia_vat_tu1"/>
      <sheetName val="Don_gia_III1"/>
      <sheetName val="D÷_liÖu1"/>
      <sheetName val="Bê_tông_bảo_vệ1"/>
      <sheetName val="01__Data1"/>
      <sheetName val="Neo,_nối_cốt_thép_dầm,_cột1"/>
      <sheetName val="Uốn_móc_cốt_thép1"/>
      <sheetName val="Tiêu_chuẩn_cốt_thép1"/>
      <sheetName val="1_Civil_(Org)1"/>
      <sheetName val="Dot_41"/>
      <sheetName val="B3A_-_TOWER_A1"/>
      <sheetName val="Annex_B1"/>
      <sheetName val="Tong_hop_vat_tu1"/>
      <sheetName val="1_San_1"/>
      <sheetName val="TLG_Type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KL_thep_lam_sat1"/>
      <sheetName val="Tien_Thuong1"/>
      <sheetName val="NC_XL_6T_cuoi_01_CTy1"/>
      <sheetName val="Data_-6T_dau1"/>
      <sheetName val="Cong_6T1"/>
      <sheetName val="Chi_phi_van_chuyen1"/>
      <sheetName val="2_CDPS1"/>
      <sheetName val="B-2__(DPP)1"/>
      <sheetName val="TH_các_CC1"/>
      <sheetName val="DT_hợp_đồng"/>
      <sheetName val="Bảng_KL_đợt_1"/>
      <sheetName val="4_CĂN1"/>
      <sheetName val="7_Khau_tru_1"/>
      <sheetName val="Q_A01_2-Sh1"/>
      <sheetName val="DM_336cai_tao1"/>
      <sheetName val="HRG_BHN1"/>
      <sheetName val="CĂN_ĐH1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Heso_DZ1"/>
      <sheetName val="DG_BINH_THUAN1"/>
      <sheetName val="Div26_-_Elect1"/>
      <sheetName val="Danh_mục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Don_gia_NC1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gia_vt,nc,may"/>
      <sheetName val="TINH_GIA_-_SAN_XUAT_Vertico"/>
      <sheetName val="Bieu_gia_HD"/>
      <sheetName val="Huong_dan"/>
      <sheetName val="BTK-Dai_Hoc_Kien_Giang"/>
      <sheetName val="PV_Graph_Data"/>
      <sheetName val="doanh_thu"/>
      <sheetName val="Dutoan_KL"/>
      <sheetName val="DZ_22KV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Dinh_muc"/>
      <sheetName val="5_2_1_Đo_bóc_KL_OLK-06"/>
      <sheetName val="Tổng_hợp_KPHM"/>
      <sheetName val="MB_DT_02"/>
      <sheetName val="KS_tuyen"/>
      <sheetName val="Bang_chiet_tinh_TBA"/>
      <sheetName val="GIÁ_DỰ_THẦU_30_CĂN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So_sanh"/>
      <sheetName val="EQUIP_LIST"/>
      <sheetName val="DT__NHA_XU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Bill_No_1_6"/>
      <sheetName val="Bill_No_1_10"/>
      <sheetName val="Bill_No_3_3"/>
      <sheetName val="Bill_No_1_4"/>
      <sheetName val="Bill_No_1_7"/>
      <sheetName val="Summary_Bill_No__3"/>
      <sheetName val="THONG_SO"/>
      <sheetName val="Đơn_giá_chi_tiết_TN_39"/>
      <sheetName val="4_2_1_Đo_bóc_KL_OLK-06"/>
      <sheetName val="4_1_1_CHI_TIET_OLK-06"/>
      <sheetName val="Gia_VT-TB"/>
      <sheetName val="noi_suy_xa"/>
      <sheetName val="noi_suy_xa_thu_hoi"/>
      <sheetName val="BU_LONG"/>
      <sheetName val="Cash_Flow"/>
      <sheetName val="Thuyết_minh"/>
      <sheetName val="Đơn_giá_máy"/>
      <sheetName val="Tính_giá_NC"/>
      <sheetName val="SL_cước"/>
      <sheetName val="¥_"/>
      <sheetName val="Links"/>
      <sheetName val="Lead"/>
      <sheetName val="DT san XD-So lieu cu"/>
      <sheetName val="說明"/>
      <sheetName val="데리네이타현황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Solieu"/>
      <sheetName val="112016"/>
      <sheetName val="Bán đợt 1 trang"/>
      <sheetName val="BID"/>
      <sheetName val="3. KC - PODIUM"/>
      <sheetName val="설계내역서"/>
      <sheetName val="Tiên_lượng"/>
      <sheetName val="CTDZ6kv (gd1) "/>
      <sheetName val="CTDZ 0.4+cto (GD1)"/>
      <sheetName val="CTTBA (gd1)"/>
      <sheetName val="선가03C"/>
      <sheetName val="03 Detailed"/>
      <sheetName val="01 Bid Price summary"/>
      <sheetName val="갑지(추정)"/>
      <sheetName val="Home Office Manhours"/>
      <sheetName val="Field SPV Barchart"/>
      <sheetName val="95D"/>
      <sheetName val="94D"/>
      <sheetName val="基本"/>
      <sheetName val="149-2"/>
      <sheetName val="Tien Luong"/>
      <sheetName val="Unit price(Updateting)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Menu"/>
      <sheetName val="dats"/>
      <sheetName val="CHITIET VL-NCHT1 (2)"/>
      <sheetName val="tuong"/>
      <sheetName val="CashFlows"/>
      <sheetName val="Bù giá CM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Breakdown (B)"/>
      <sheetName val="U.P_Breakdown"/>
      <sheetName val="기안"/>
      <sheetName val="IMF Code"/>
      <sheetName val="Main_Mech"/>
      <sheetName val="Sub_Mech"/>
      <sheetName val="Subsidiary Calculation"/>
      <sheetName val="inputcua"/>
      <sheetName val="Phu Bai Bridge"/>
      <sheetName val="5.2.1 Đo bóc KL OLK-10"/>
      <sheetName val="tifico"/>
      <sheetName val="COAT&amp;WRAP-QIOT-#3"/>
      <sheetName val="BẢNG DIỄN GIẢI KL (7)"/>
      <sheetName val="don gia 1426"/>
      <sheetName val="beam"/>
      <sheetName val="Luong BN"/>
      <sheetName val="Luong TB"/>
      <sheetName val="Ca may TB"/>
      <sheetName val="Ca máy BN"/>
      <sheetName val="Vật liệu"/>
      <sheetName val="LX -TT05"/>
      <sheetName val="NC Moi TT05"/>
      <sheetName val="Bia lot"/>
      <sheetName val="DSKH"/>
      <sheetName val="Chu dau tu"/>
      <sheetName val="Abutment"/>
      <sheetName val="Bangia"/>
      <sheetName val="D+W"/>
      <sheetName val="Cau tao gia xay to"/>
      <sheetName val="NTCV1"/>
      <sheetName val="THÔNG TIN"/>
      <sheetName val="THPDMoi  (2)"/>
      <sheetName val="thao-go"/>
      <sheetName val="t-h HA THE"/>
      <sheetName val="TH XL"/>
      <sheetName val="chitiet"/>
      <sheetName val="Tiepdia"/>
      <sheetName val="CHITIET VL-NC"/>
      <sheetName val="ERECIN"/>
      <sheetName val="주식"/>
      <sheetName val="SucChiuTaiCuaCoc"/>
      <sheetName val="PU_ITALY_22"/>
      <sheetName val="TH_DZ3510"/>
      <sheetName val="Tro_giup21"/>
      <sheetName val="RAB_AR&amp;STR8"/>
      <sheetName val="chi_tiet_TBA8"/>
      <sheetName val="chi_tiet_C8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Don_gia_chi_tiet8"/>
      <sheetName val="HĐ_ngoài7"/>
      <sheetName val="XT_Buoc_37"/>
      <sheetName val="dongia_(2)7"/>
      <sheetName val="7606_DZ8"/>
      <sheetName val="project_management7"/>
      <sheetName val="Adix_A7"/>
      <sheetName val="S-curve_7"/>
      <sheetName val="REINF_7"/>
      <sheetName val="Rates_20097"/>
      <sheetName val="So_doi_chieu_LC7"/>
      <sheetName val="MAIN_GATE_HOUSE7"/>
      <sheetName val="Commercial_valu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chiet_tinh7"/>
      <sheetName val="Ng_hàng_xà+bulong7"/>
      <sheetName val="MH_RATE7"/>
      <sheetName val="TONG_HOP_VL-NC7"/>
      <sheetName val="Bang_KL7"/>
      <sheetName val="Đầu_vào6"/>
      <sheetName val="Lcau_-_Lxuc7"/>
      <sheetName val="Chi_tiet_XD_TBA6"/>
      <sheetName val="DM_60617"/>
      <sheetName val="DG_thep_ma_kem7"/>
      <sheetName val="CT_vat_lieu7"/>
      <sheetName val="Equip_6"/>
      <sheetName val="A1_CN6"/>
      <sheetName val="TONG_HOP_T5_19986"/>
      <sheetName val="Chenh_lech_vat_tu6"/>
      <sheetName val="Trạm_biến_áp6"/>
      <sheetName val="Đơn_Giá_6"/>
      <sheetName val="Diện_tích6"/>
      <sheetName val="1_Khái_toán6"/>
      <sheetName val="CT-0_4KV6"/>
      <sheetName val="DG_DZ7"/>
      <sheetName val="DG_TBA7"/>
      <sheetName val="rate_material6"/>
      <sheetName val="KL_Chi_tiết_Xây_tô6"/>
      <sheetName val="07Base_Cost6"/>
      <sheetName val="GV1-D13_(Casement_door)6"/>
      <sheetName val="Bill_1_Quy_dinh_chung6"/>
      <sheetName val="1_R18_BF6"/>
      <sheetName val="6_External_works-R186"/>
      <sheetName val="Phan_khai_KLuong6"/>
      <sheetName val="Chi_tiet_KL6"/>
      <sheetName val="Tổng_hợp_KL6"/>
      <sheetName val="04_-_XUONG_DET_B6"/>
      <sheetName val="_036"/>
      <sheetName val="chieu_day_san6"/>
      <sheetName val="Podium_Concrete_Works6"/>
      <sheetName val="KLCT-_TOWER6"/>
      <sheetName val="KLCT-_PODIUM6"/>
      <sheetName val="Area_Cal6"/>
      <sheetName val="Gia_thanh_chuoi_su6"/>
      <sheetName val="Tiep_dia6"/>
      <sheetName val="Don_gia_vung_III-Can_Tho6"/>
      <sheetName val="Loại_Vật_tư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Xay_lapduongR36"/>
      <sheetName val="DM_676"/>
      <sheetName val="Project_Data6"/>
      <sheetName val="6787CWFASE2CASE2_00_xls6"/>
      <sheetName val="Đầu_tư6"/>
      <sheetName val="EIRR&gt;_2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Vat_tu_XD6"/>
      <sheetName val="Tower_-_Concrete_Works6"/>
      <sheetName val="Bill-04_ket_cau_thap-_UNI6"/>
      <sheetName val="dg_tphcm6"/>
      <sheetName val="T_KÊ_K_CẤU6"/>
      <sheetName val="gia_cong_tac6"/>
      <sheetName val="4_PTDG6"/>
      <sheetName val="A1,_May6"/>
      <sheetName val="Vat_lieu6"/>
      <sheetName val="Data_Input7"/>
      <sheetName val="Measure_13066"/>
      <sheetName val="HÐ_ngoài7"/>
      <sheetName val="6PILE__(돌출)6"/>
      <sheetName val="Bill_01_-_CTN6"/>
      <sheetName val="Bill_2_2_Villa_2_beds6"/>
      <sheetName val="Analisa_Gabungan6"/>
      <sheetName val="Isolasi_Luar_Dalam6"/>
      <sheetName val="Isolasi_Luar6"/>
      <sheetName val="Harga_ME_6"/>
      <sheetName val="TH_N_Cong6"/>
      <sheetName val="ESTI_6"/>
      <sheetName val="KL_san_lap6"/>
      <sheetName val="TH_Vat_tu6"/>
      <sheetName val="_Bill_5-Earthing_2_-_Add_Works6"/>
      <sheetName val="Chenh_lech_ca_may6"/>
      <sheetName val="TLg_CN&amp;Laixe6"/>
      <sheetName val="TLg_CN&amp;Laixe_(2)6"/>
      <sheetName val="TLg_Laitau6"/>
      <sheetName val="TLg_Laitau_(2)6"/>
      <sheetName val="Bang_trong_luong_rieng_thep6"/>
      <sheetName val="Cước_VC_+_ĐM_CP_Tư_vấn6"/>
      <sheetName val="Hệ_số6"/>
      <sheetName val="DETAIL_6"/>
      <sheetName val="final_list_200522"/>
      <sheetName val="LV_data6"/>
      <sheetName val="Gia_vat_tu6"/>
      <sheetName val="CẤP_THOÁT_NƯỚC6"/>
      <sheetName val="THDT_goi_thau_TB6"/>
      <sheetName val="Tien_do_TV6"/>
      <sheetName val="bridge_#_16"/>
      <sheetName val="Bang_3_Chi_tiet_phan_Dz6"/>
      <sheetName val="KHOI_LUONG6"/>
      <sheetName val="TH_MTC6"/>
      <sheetName val="CTKL_KTX_HT5"/>
      <sheetName val="Buy_vs__Lease_Car6"/>
      <sheetName val="DATA_BASE6"/>
      <sheetName val="Equipment_list_(PAC)6"/>
      <sheetName val="TINH_KHOI_LUONG6"/>
      <sheetName val="Chi_tiet6"/>
      <sheetName val="subcon_sched6"/>
      <sheetName val="NHÀ_NHẬP_LIỆU5"/>
      <sheetName val="MÓNG_SILO5"/>
      <sheetName val="PRE_(E)6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Chi_tiet_lan_can5"/>
      <sheetName val="13-Cốt_thép_(10mm&lt;D≤18mm)_FO165"/>
      <sheetName val="du_lieu_du_toan5"/>
      <sheetName val="BOQ_THAN5"/>
      <sheetName val="DL_ĐẦU_VÀO5"/>
      <sheetName val="Purchase_Order5"/>
      <sheetName val="D_&amp;_W_sizes5"/>
      <sheetName val="Analisa_&amp;_Upah5"/>
      <sheetName val="Du_lieu6"/>
      <sheetName val="Phan_tich5"/>
      <sheetName val="Luong_NII5"/>
      <sheetName val="DINH_MUC_THI_NGHIEM5"/>
      <sheetName val="Luong_NI5"/>
      <sheetName val="CT_Thang_Mo5"/>
      <sheetName val="CT__PL5"/>
      <sheetName val="cash_budget5"/>
      <sheetName val="dongia__2_5"/>
      <sheetName val="GOC-KO_IN5"/>
      <sheetName val="MAU_8A5"/>
      <sheetName val="MAU_8B5"/>
      <sheetName val="MAU_95"/>
      <sheetName val="MAU_105"/>
      <sheetName val="Thép_CKN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VC_xd3"/>
      <sheetName val="Gia_VLTB3"/>
      <sheetName val="B_Luong3"/>
      <sheetName val="C_May3"/>
      <sheetName val="Dlieu_dau_vao5"/>
      <sheetName val="Income_Statement5"/>
      <sheetName val="Shareholders'_Equity5"/>
      <sheetName val="BANCO_(2)5"/>
      <sheetName val="MT_DPin_(2)5"/>
      <sheetName val="02__PTDG5"/>
      <sheetName val="Chiết_tính5"/>
      <sheetName val="TB_NẶNG3"/>
      <sheetName val="Du_tru_CP-Bieu_013"/>
      <sheetName val="Don_gia_(khong_in)5"/>
      <sheetName val="DK1_Don_gia5"/>
      <sheetName val="1_MONG_1-25"/>
      <sheetName val="THEP_TAM3"/>
      <sheetName val="THEP_HÌNH3"/>
      <sheetName val="THEP_HINH3"/>
      <sheetName val="XA_GO3"/>
      <sheetName val="BANG_TRA3"/>
      <sheetName val="wk_prgs3"/>
      <sheetName val="Ma_don_vi3"/>
      <sheetName val="bang_cc3"/>
      <sheetName val="dm_3663"/>
      <sheetName val="DM_60603"/>
      <sheetName val="Dự_thầu3"/>
      <sheetName val="Nhap_VT_oto3"/>
      <sheetName val="Hao_phí3"/>
      <sheetName val="Structure_data3"/>
      <sheetName val="đọc_số3"/>
      <sheetName val="Bill_No_3_-_Prov__Sum_(Ph2&amp;3)3"/>
      <sheetName val="TH_TN3"/>
      <sheetName val="CP_Du_phong3"/>
      <sheetName val="THCP_Lap_dat3"/>
      <sheetName val="THCP_xay_dung3"/>
      <sheetName val="Tong_hop_kinh_phi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Don_gia_chi_tiet_DIEN_22"/>
      <sheetName val="Data_Wall3"/>
      <sheetName val="2_1Warehouse_13"/>
      <sheetName val="AG_Pipe_Qty_Analysis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Ｎｏ_133"/>
      <sheetName val="DGchitiet_3"/>
      <sheetName val="CP_HMC3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CHI_PHI3"/>
      <sheetName val="TK_chi_tiet3"/>
      <sheetName val="Bill_2-Road_HR23"/>
      <sheetName val="Bill_3_-_Softscape_HR23"/>
      <sheetName val="CĂN_HỘ_T16-17_3"/>
      <sheetName val="TRỤC_ĐỨNG_THOÁT_BẨN_T15-173"/>
      <sheetName val="TRỤC_ĐỨNG_TM_T15-173"/>
      <sheetName val="Móng,_nền_3"/>
      <sheetName val="1_Requisition(E)3"/>
      <sheetName val="TONG_HOP3"/>
      <sheetName val="Tổng_GT3"/>
      <sheetName val="Chi_tiết_KL3"/>
      <sheetName val="khấu_trừ_phạt3"/>
      <sheetName val="GT__KHAU_TRU3"/>
      <sheetName val="HAO_HUT_VAT_TU_(2)3"/>
      <sheetName val="cao_độ3"/>
      <sheetName val="phan_tic_chi_tiet3"/>
      <sheetName val="DG_14262"/>
      <sheetName val="Theo_doi_Doanh_thu_20172"/>
      <sheetName val="KL_THEP__GIAM_DO_DUNG_COUPLER2"/>
      <sheetName val="01_KL_THÉP_NHẬP_VỀ2"/>
      <sheetName val="2__NT_VLDV2"/>
      <sheetName val="GHI_CHU2"/>
      <sheetName val="1_BB_LMHT2"/>
      <sheetName val="gui_BKCT2"/>
      <sheetName val="Gia_vat_lieu2"/>
      <sheetName val="Precios_unitarios_AXH2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MB_DT_021"/>
      <sheetName val="3__CNT2"/>
      <sheetName val="unit_price_list(M)2"/>
      <sheetName val="So_lieu_chung2"/>
      <sheetName val="TH_VL,_NC,_DDHT_Thanhphuoc2"/>
      <sheetName val="Chi_tiet_-tong_9_thang2"/>
      <sheetName val="BẢNG_ÁP_GIÁ_(in)2"/>
      <sheetName val="NT_(KL)_IN2"/>
      <sheetName val="DOM_D22"/>
      <sheetName val="nhà_ăn2"/>
      <sheetName val="Công_nhật2"/>
      <sheetName val="btkt_cộ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2_Staff_Schedule2"/>
      <sheetName val="0__Input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Heso_DZ2"/>
      <sheetName val="DM_336cai_tao2"/>
      <sheetName val="DG_BINH_THUAN2"/>
      <sheetName val="Tien_Thuong2"/>
      <sheetName val="NC_XL_6T_cuoi_01_CTy2"/>
      <sheetName val="Data_-6T_dau2"/>
      <sheetName val="Cong_6T2"/>
      <sheetName val="KL_thep_lam_sat2"/>
      <sheetName val="B3A_-_TOWER_A2"/>
      <sheetName val="Annex_B2"/>
      <sheetName val="Bill_Prelim-CDT2"/>
      <sheetName val="Bill_BPTC-CDT2"/>
      <sheetName val="Chi_tiết_BPTC2"/>
      <sheetName val="Bill_BPTC-CDT_(PA_MCT_CDT)2"/>
      <sheetName val="Chi_tiết_BPTC_(PA_MCT_CDT)2"/>
      <sheetName val="1_Civil_(Org)2"/>
      <sheetName val="DM-VNT_ko_sd2"/>
      <sheetName val="Bảng_đo_bóc_KL_OLK-092"/>
      <sheetName val="6_3_CHI_TIET_OLK-092"/>
      <sheetName val="1__Office2"/>
      <sheetName val="KHOI_LUONG15-42"/>
      <sheetName val="Tong_hop_vat_tu2"/>
      <sheetName val="1_San_2"/>
      <sheetName val="TLG_Type2"/>
      <sheetName val="Dgia_vat_tu2"/>
      <sheetName val="Don_gia_III2"/>
      <sheetName val="D÷_liÖu2"/>
      <sheetName val="Dot_4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HRG_BHN2"/>
      <sheetName val="CĂN_ĐH2"/>
      <sheetName val="Chi_phi_van_chuyen2"/>
      <sheetName val="TH_các_CC2"/>
      <sheetName val="Div26_-_Elect2"/>
      <sheetName val="7_Khau_tru_2"/>
      <sheetName val="Q_A01_2-Sh2"/>
      <sheetName val="4_CĂN2"/>
      <sheetName val="2_CDPS2"/>
      <sheetName val="Don_gia_NC2"/>
      <sheetName val="DT_hợp_đồng1"/>
      <sheetName val="Bảng_KL_đợt_11"/>
      <sheetName val="Danh_mục1"/>
      <sheetName val="Bieu_gia_HD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TK-Dai_Hoc_Kien_Giang1"/>
      <sheetName val="PV_Graph_Data1"/>
      <sheetName val="doanh_thu1"/>
      <sheetName val="Dutoan_KL1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B-2__(DPP)2"/>
      <sheetName val="Huong_dan1"/>
      <sheetName val="gia_vt,nc,may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DZ_22KV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Tổng_hợp_KPHM1"/>
      <sheetName val="Dinh_muc1"/>
      <sheetName val="GIÁ_DỰ_THẦU_30_CĂN1"/>
      <sheetName val="5_2_1_Đo_bóc_KL_OLK-061"/>
      <sheetName val="KS_tuyen1"/>
      <sheetName val="Bang_chiet_tinh_TBA1"/>
      <sheetName val="4_2_1_Đo_bóc_KL_OLK-061"/>
      <sheetName val="4_1_1_CHI_TIET_OLK-061"/>
      <sheetName val="DG_Chi_tiet1"/>
      <sheetName val="_1710_HOINGHINLD1"/>
      <sheetName val="99_(2)1"/>
      <sheetName val="134_1"/>
      <sheetName val="DG_49701"/>
      <sheetName val="Cash_Flow1"/>
      <sheetName val="BU_LONG1"/>
      <sheetName val="DT__NHA_XUONG1"/>
      <sheetName val="EQUIP_LIST1"/>
      <sheetName val="THONG_SO1"/>
      <sheetName val="Đơn_giá_chi_tiết_TN_391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So_sanh1"/>
      <sheetName val="Electrical_Works1"/>
      <sheetName val="H_T__INCOMING_SYSTEM1"/>
      <sheetName val="Tính_giá_NC1"/>
      <sheetName val="Tiên_lượng1"/>
      <sheetName val="SL_cước1"/>
      <sheetName val="¥_1"/>
      <sheetName val="Gia_VT-TB1"/>
      <sheetName val="noi_suy_xa1"/>
      <sheetName val="noi_suy_xa_thu_hoi1"/>
      <sheetName val="Thuyết_minh1"/>
      <sheetName val="Đơn_giá_máy1"/>
      <sheetName val="Tong_DT"/>
      <sheetName val="phan_tich_don_gia"/>
      <sheetName val="Bill_No_1_61"/>
      <sheetName val="Bill_No_1_101"/>
      <sheetName val="Bill_No_3_31"/>
      <sheetName val="Bill_No_1_41"/>
      <sheetName val="Bill_No_1_71"/>
      <sheetName val="Summary_Bill_No__31"/>
      <sheetName val="DT_san_XD-So_lieu_cu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Unit_price"/>
      <sheetName val="Bán_đợt_1_trang"/>
      <sheetName val="Chiet_tinh_dz35"/>
      <sheetName val="3__KC_-_PODIUM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Tien_Luong"/>
      <sheetName val="Unit_price(Updateting)"/>
      <sheetName val="Cost_List"/>
      <sheetName val="Detail_Cost"/>
      <sheetName val="IC_Price_New"/>
      <sheetName val="Summary_Table"/>
      <sheetName val="Sales_Person"/>
      <sheetName val="Bidding_Entity"/>
      <sheetName val="CHITIET_VL-NCHT1_(2)"/>
      <sheetName val="Bù_giá_CM"/>
      <sheetName val="Breakdown_(B)"/>
      <sheetName val="U_P_Breakdown"/>
      <sheetName val="IMF_Code"/>
      <sheetName val="Subsidiary_Calculation"/>
      <sheetName val="Phu_Bai_Bridge"/>
      <sheetName val="5_2_1_Đo_bóc_KL_OLK-10"/>
      <sheetName val="BẢNG_DIỄN_GIẢI_KL_(7)"/>
      <sheetName val="don_gia_1426"/>
      <sheetName val="Luong_BN"/>
      <sheetName val="Luong_TB"/>
      <sheetName val="Ca_may_TB"/>
      <sheetName val="Ca_máy_BN"/>
      <sheetName val="Vật_liệu"/>
      <sheetName val="LX_-TT05"/>
      <sheetName val="NC_Moi_TT05"/>
      <sheetName val="Bia_lot"/>
      <sheetName val="PU_ITALY_23"/>
      <sheetName val="TH_DZ3511"/>
      <sheetName val="Tro_giup22"/>
      <sheetName val="RAB_AR&amp;STR9"/>
      <sheetName val="chi_tiet_TBA9"/>
      <sheetName val="chi_tiet_C9"/>
      <sheetName val="Don_gia9"/>
      <sheetName val="DON_GIA_TRAM_(3)9"/>
      <sheetName val="XT_Buoc_38"/>
      <sheetName val="DON_GIA_CAN_THO11"/>
      <sheetName val="7606_DZ9"/>
      <sheetName val="Don_gia_chi_tiet9"/>
      <sheetName val="Customize_Your_Purchase_Order9"/>
      <sheetName val="CHITIET_VL-NC-TT_-1p9"/>
      <sheetName val="CHITIET_VL-NC-TT-3p8"/>
      <sheetName val="TONG_HOP_VL-NC_TT9"/>
      <sheetName val="KPVC-BD_9"/>
      <sheetName val="dongia_(2)8"/>
      <sheetName val="Adix_A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HĐ_ngoài8"/>
      <sheetName val="Ng_hàng_xà+bulong8"/>
      <sheetName val="chiet_tinh8"/>
      <sheetName val="S-curve_8"/>
      <sheetName val="DM_60618"/>
      <sheetName val="CT_vat_lieu8"/>
      <sheetName val="So_doi_chieu_LC8"/>
      <sheetName val="Bang_3_Chi_tiet_phan_Dz7"/>
      <sheetName val="Commercial_value8"/>
      <sheetName val="project_management8"/>
      <sheetName val="REINF_8"/>
      <sheetName val="Rates_20098"/>
      <sheetName val="Du_toan8"/>
      <sheetName val="MAIN_GATE_HOUSE8"/>
      <sheetName val="TONG_HOP_VL-NC8"/>
      <sheetName val="Bang_KL8"/>
      <sheetName val="MH_RATE8"/>
      <sheetName val="07Base_Cost7"/>
      <sheetName val="rate_material7"/>
      <sheetName val="DG_thep_ma_kem8"/>
      <sheetName val="Lcau_-_Lxuc8"/>
      <sheetName val="Equip_7"/>
      <sheetName val="A1_CN7"/>
      <sheetName val="Đầu_vào7"/>
      <sheetName val="Chi_tiet_XD_TBA7"/>
      <sheetName val="Trạm_biến_áp7"/>
      <sheetName val="Đơn_Giá_7"/>
      <sheetName val="CT-0_4KV7"/>
      <sheetName val="Chenh_lech_vat_tu7"/>
      <sheetName val="Diện_tích7"/>
      <sheetName val="1_Khái_toán7"/>
      <sheetName val="TONG_HOP_T5_19987"/>
      <sheetName val="KL_Chi_tiết_Xây_tô7"/>
      <sheetName val="DG_DZ8"/>
      <sheetName val="DG_TBA8"/>
      <sheetName val="Xay_lapduongR37"/>
      <sheetName val="HÐ_ngoài8"/>
      <sheetName val="DM_677"/>
      <sheetName val="Data_Input8"/>
      <sheetName val="Bill_1_Quy_dinh_chung7"/>
      <sheetName val="1_R18_BF7"/>
      <sheetName val="6_External_works-R187"/>
      <sheetName val="Gia_vat_tu7"/>
      <sheetName val="Elect_(3)7"/>
      <sheetName val="plan&amp;section_of_foundation7"/>
      <sheetName val="design_criteria7"/>
      <sheetName val="Bond_수수료_계산_포맷7"/>
      <sheetName val="ITB_COST7"/>
      <sheetName val="4_PTDG7"/>
      <sheetName val="final_list_200523"/>
      <sheetName val="LV_data7"/>
      <sheetName val="Chi_tiet_KL7"/>
      <sheetName val="Tổng_hợp_KL7"/>
      <sheetName val="04_-_XUONG_DET_B7"/>
      <sheetName val="Phan_khai_KLuong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Area_Cal7"/>
      <sheetName val="PAGE_17"/>
      <sheetName val="EIRR&gt;_27"/>
      <sheetName val="Đầu_tư7"/>
      <sheetName val="Project_Data7"/>
      <sheetName val="6787CWFASE2CASE2_00_xls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Loại_Vật_tư7"/>
      <sheetName val="TH_Vat_tu7"/>
      <sheetName val="dg_tphcm7"/>
      <sheetName val="T_KÊ_K_CẤU7"/>
      <sheetName val="Bill_01_-_CTN7"/>
      <sheetName val="Bill_2_2_Villa_2_beds7"/>
      <sheetName val="A1,_May7"/>
      <sheetName val="Vat_lieu7"/>
      <sheetName val="Bang_trong_luong_rieng_thep7"/>
      <sheetName val="6PILE__(돌출)7"/>
      <sheetName val="gia_cong_tac7"/>
      <sheetName val="Measure_13067"/>
      <sheetName val="_Bill_5-Earthing_2_-_Add_Works7"/>
      <sheetName val="Cước_VC_+_ĐM_CP_Tư_vấn7"/>
      <sheetName val="Hệ_số7"/>
      <sheetName val="Door_and_window3"/>
      <sheetName val="DETAIL_7"/>
      <sheetName val="GV1-D13_(Casement_door)7"/>
      <sheetName val="ESTI_7"/>
      <sheetName val="CẤP_THOÁT_NƯỚC7"/>
      <sheetName val="TH_MTC7"/>
      <sheetName val="TH_N_Cong7"/>
      <sheetName val="THDT_goi_thau_TB7"/>
      <sheetName val="Tien_do_TV7"/>
      <sheetName val="Harga_ME_7"/>
      <sheetName val="Analisa_Gabungan7"/>
      <sheetName val="bridge_#_17"/>
      <sheetName val="Isolasi_Luar_Dalam7"/>
      <sheetName val="Isolasi_Luar7"/>
      <sheetName val="KL_san_lap7"/>
      <sheetName val="Chi_tiet7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Chenh_lech_ca_may7"/>
      <sheetName val="TLg_CN&amp;Laixe7"/>
      <sheetName val="TLg_CN&amp;Laixe_(2)7"/>
      <sheetName val="TLg_Laitau7"/>
      <sheetName val="TLg_Laitau_(2)7"/>
      <sheetName val="KHOI_LUONG7"/>
      <sheetName val="Equipment_list_(PAC)7"/>
      <sheetName val="TINH_KHOI_LUONG7"/>
      <sheetName val="DATA_BASE7"/>
      <sheetName val="BẢNG_KHỐI_LƯỢNG_TỔNG_HỢP6"/>
      <sheetName val="Buy_vs__Lease_Car7"/>
      <sheetName val="CP_Khac_cuoc_VC6"/>
      <sheetName val="Budget_Code6"/>
      <sheetName val="CTKL_KTX_HT6"/>
      <sheetName val="2_Chiet_tinh6"/>
      <sheetName val="subcon_sched7"/>
      <sheetName val="NHÀ_NHẬP_LIỆU6"/>
      <sheetName val="MÓNG_SILO6"/>
      <sheetName val="PRE_(E)7"/>
      <sheetName val="HVAC_BLOCK_B47"/>
      <sheetName val="Tong_du_toan6"/>
      <sheetName val="Bill_2_-_ketcau6"/>
      <sheetName val="13-Cốt_thép_(10mm&lt;D≤18mm)_FO166"/>
      <sheetName val="du_lieu_du_toan6"/>
      <sheetName val="BANCO_(2)6"/>
      <sheetName val="MT_DPin_(2)6"/>
      <sheetName val="Chi_tiet_lan_can6"/>
      <sheetName val="BOQ_THAN6"/>
      <sheetName val="DL_ĐẦU_VÀO6"/>
      <sheetName val="D_&amp;_W_sizes6"/>
      <sheetName val="Analisa_&amp;_Upah6"/>
      <sheetName val="Purchase_Order6"/>
      <sheetName val="Du_lieu7"/>
      <sheetName val="Phan_tich6"/>
      <sheetName val="Luong_NII6"/>
      <sheetName val="DINH_MUC_THI_NGHIEM6"/>
      <sheetName val="Luong_NI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cash_budget6"/>
      <sheetName val="Dlieu_dau_vao6"/>
      <sheetName val="CHI_PHI4"/>
      <sheetName val="02__PTDG6"/>
      <sheetName val="Chiết_tính6"/>
      <sheetName val="DK1_Don_gia6"/>
      <sheetName val="Income_Statement6"/>
      <sheetName val="Shareholders'_Equity6"/>
      <sheetName val="VC_xd4"/>
      <sheetName val="Gia_VLTB4"/>
      <sheetName val="B_Luong4"/>
      <sheetName val="C_May4"/>
      <sheetName val="Don_gia_(khong_in)6"/>
      <sheetName val="1_MONG_1-26"/>
      <sheetName val="TB_NẶNG4"/>
      <sheetName val="Du_tru_CP-Bieu_014"/>
      <sheetName val="dm_3664"/>
      <sheetName val="DM_60604"/>
      <sheetName val="Dự_thầu4"/>
      <sheetName val="Nhap_VT_oto4"/>
      <sheetName val="Hao_phí4"/>
      <sheetName val="Ma_don_vi4"/>
      <sheetName val="bang_cc4"/>
      <sheetName val="Structure_data4"/>
      <sheetName val="TH_TN4"/>
      <sheetName val="Bill_No_3_-_Prov__Sum_(Ph2&amp;3)4"/>
      <sheetName val="đọc_số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2_1Warehouse_14"/>
      <sheetName val="CĂN_HỘ_T16-17_4"/>
      <sheetName val="TRỤC_ĐỨNG_THOÁT_BẨN_T15-174"/>
      <sheetName val="TRỤC_ĐỨNG_TM_T15-17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Móng,_nền_4"/>
      <sheetName val="1_Requisition(E)4"/>
      <sheetName val="So_lieu_chung3"/>
      <sheetName val="Q_A01_2-Sh3"/>
      <sheetName val="DG_14263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TONG_HOP4"/>
      <sheetName val="Tổng_GT4"/>
      <sheetName val="Chi_tiết_KL4"/>
      <sheetName val="khấu_trừ_phạt4"/>
      <sheetName val="GT__KHAU_TRU4"/>
      <sheetName val="HAO_HUT_VAT_TU_(2)4"/>
      <sheetName val="cao_độ4"/>
      <sheetName val="Data_Wall4"/>
      <sheetName val="3__CNT3"/>
      <sheetName val="unit_price_list(M)3"/>
      <sheetName val="Theo_doi_Doanh_thu_20173"/>
      <sheetName val="Gia_vat_lieu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Danh_mục2"/>
      <sheetName val="PV_Graph_Data2"/>
      <sheetName val="1_2_Staff_Schedule3"/>
      <sheetName val="BẢNG_ÁP_GIÁ_(in)3"/>
      <sheetName val="NT_(KL)_IN3"/>
      <sheetName val="DOM_D23"/>
      <sheetName val="nhà_ăn3"/>
      <sheetName val="Công_nhật3"/>
      <sheetName val="btkt_cột3"/>
      <sheetName val="Bảng_đo_bóc_KL_OLK-093"/>
      <sheetName val="6_3_CHI_TIET_OLK-093"/>
      <sheetName val="BTK-Dai_Hoc_Kien_Giang2"/>
      <sheetName val="0__Input3"/>
      <sheetName val="TH_các_CC3"/>
      <sheetName val="Don_gia_chi_tiet_DIEN_23"/>
      <sheetName val="Chi_tiet_-tong_9_thang3"/>
      <sheetName val="TH_VL,_NC,_DDHT_Thanhphuoc3"/>
      <sheetName val="1__Office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Doi_so3"/>
      <sheetName val="1_Civil_(Org)3"/>
      <sheetName val="Bill_Prelim-CDT3"/>
      <sheetName val="Bill_BPTC-CDT3"/>
      <sheetName val="Chi_tiết_BPTC3"/>
      <sheetName val="Bill_BPTC-CDT_(PA_MCT_CDT)3"/>
      <sheetName val="Chi_tiết_BPTC_(PA_MCT_CDT)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DM_336cai_tao3"/>
      <sheetName val="MTO_REV_2(ARMOR)3"/>
      <sheetName val="Dutoan_KL2"/>
      <sheetName val="doanh_thu2"/>
      <sheetName val="KHOI_LUONG15-4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KL_thep_lam_sat3"/>
      <sheetName val="DM-VNT_ko_sd3"/>
      <sheetName val="B3A_-_TOWER_A3"/>
      <sheetName val="Annex_B3"/>
      <sheetName val="Cotthep_NPT3"/>
      <sheetName val="vl_nc_mtc3"/>
      <sheetName val="Tien_Thuong3"/>
      <sheetName val="NC_XL_6T_cuoi_01_CTy3"/>
      <sheetName val="Data_-6T_dau3"/>
      <sheetName val="Cong_6T3"/>
      <sheetName val="TLG_Type3"/>
      <sheetName val="Tong_hop_vat_tu3"/>
      <sheetName val="1_San_3"/>
      <sheetName val="Dot_43"/>
      <sheetName val="HRG_BHN3"/>
      <sheetName val="CĂN_ĐH3"/>
      <sheetName val="Chi_phi_van_chuyen3"/>
      <sheetName val="Dgia_vat_tu3"/>
      <sheetName val="Don_gia_III3"/>
      <sheetName val="D÷_liÖu3"/>
      <sheetName val="DT_hợp_đồng2"/>
      <sheetName val="Bảng_KL_đợt_12"/>
      <sheetName val="2_CDPS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Heso_DZ3"/>
      <sheetName val="Bieu_gia_HD2"/>
      <sheetName val="Div26_-_Elect3"/>
      <sheetName val="7_Khau_tru_3"/>
      <sheetName val="4_CĂN3"/>
      <sheetName val="DG_BINH_THUAN3"/>
      <sheetName val="GIÁ_DỰ_THẦU_30_CĂN2"/>
      <sheetName val="DG_Chi_tiet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DZ_22KV2"/>
      <sheetName val="_1710_HOINGHINLD2"/>
      <sheetName val="99_(2)2"/>
      <sheetName val="134_2"/>
      <sheetName val="DG_49702"/>
      <sheetName val="Don_gia_NC3"/>
      <sheetName val="B-2__(DPP)3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Financ__Overview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TINH_GIA_-_SAN_XUAT_Vertico2"/>
      <sheetName val="gia_vt,nc,may2"/>
      <sheetName val="Huong_dan2"/>
      <sheetName val="Tổng_hợp_KPHM2"/>
      <sheetName val="5_2_1_Đo_bóc_KL_OLK-062"/>
      <sheetName val="MB_DT_022"/>
      <sheetName val="Dinh_muc2"/>
      <sheetName val="KS_tuyen2"/>
      <sheetName val="Bang_chiet_tinh_TBA2"/>
      <sheetName val="4_2_1_Đo_bóc_KL_OLK-062"/>
      <sheetName val="4_1_1_CHI_TIET_OLK-062"/>
      <sheetName val="Cash_Flow2"/>
      <sheetName val="So_sanh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Tong_DT1"/>
      <sheetName val="phan_tich_don_gia1"/>
      <sheetName val="DT_san_XD-So_lieu_cu1"/>
      <sheetName val="EQUIP_LIST2"/>
      <sheetName val="Electrical_Works2"/>
      <sheetName val="H_T__INCOMING_SYSTEM2"/>
      <sheetName val="BU_LONG2"/>
      <sheetName val="THONG_SO2"/>
      <sheetName val="Đơn_giá_chi_tiết_TN_392"/>
      <sheetName val="DT__NHA_XUONG2"/>
      <sheetName val="Gia_VT-TB2"/>
      <sheetName val="noi_suy_xa2"/>
      <sheetName val="noi_suy_xa_thu_hoi2"/>
      <sheetName val="Tính_giá_NC2"/>
      <sheetName val="Tiên_lượng2"/>
      <sheetName val="SL_cước2"/>
      <sheetName val="Thuyết_minh2"/>
      <sheetName val="Đơn_giá_máy2"/>
      <sheetName val="¥_2"/>
      <sheetName val="FF-2_(1)1"/>
      <sheetName val="Labour_Summary14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Unit_price1"/>
      <sheetName val="Bill_No_1_62"/>
      <sheetName val="Bill_No_1_102"/>
      <sheetName val="Bill_No_3_32"/>
      <sheetName val="Bill_No_1_42"/>
      <sheetName val="Bill_No_1_72"/>
      <sheetName val="Summary_Bill_No__32"/>
      <sheetName val="Bán_đợt_1_trang1"/>
      <sheetName val="Chiet_tinh_dz351"/>
      <sheetName val="3__KC_-_PODIUM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Tien_Luong1"/>
      <sheetName val="Unit_price(Updateting)1"/>
      <sheetName val="Cost_List1"/>
      <sheetName val="Detail_Cost1"/>
      <sheetName val="IC_Price_New1"/>
      <sheetName val="Summary_Table1"/>
      <sheetName val="Sales_Person1"/>
      <sheetName val="Bidding_Entity1"/>
      <sheetName val="CHITIET_VL-NCHT1_(2)1"/>
      <sheetName val="Bù_giá_CM1"/>
      <sheetName val="Breakdown_(B)1"/>
      <sheetName val="U_P_Breakdown1"/>
      <sheetName val="IMF_Code1"/>
      <sheetName val="Subsidiary_Calculation1"/>
      <sheetName val="Phu_Bai_Bridge1"/>
      <sheetName val="5_2_1_Đo_bóc_KL_OLK-101"/>
      <sheetName val="BẢNG_DIỄN_GIẢI_KL_(7)1"/>
      <sheetName val="don_gia_14261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Bia_lot1"/>
      <sheetName val="PU_ITALY_24"/>
      <sheetName val="TH_DZ3512"/>
      <sheetName val="Tro_giup23"/>
      <sheetName val="RAB_AR&amp;STR10"/>
      <sheetName val="chi_tiet_TBA10"/>
      <sheetName val="chi_tiet_C10"/>
      <sheetName val="Don_gia10"/>
      <sheetName val="DON_GIA_TRAM_(3)10"/>
      <sheetName val="XT_Buoc_39"/>
      <sheetName val="DON_GIA_CAN_THO12"/>
      <sheetName val="7606_DZ10"/>
      <sheetName val="Don_gia_chi_tiet10"/>
      <sheetName val="Customize_Your_Purchase_Order10"/>
      <sheetName val="CHITIET_VL-NC-TT_-1p10"/>
      <sheetName val="CHITIET_VL-NC-TT-3p9"/>
      <sheetName val="TONG_HOP_VL-NC_TT10"/>
      <sheetName val="KPVC-BD_10"/>
      <sheetName val="dongia_(2)9"/>
      <sheetName val="Adix_A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HĐ_ngoài9"/>
      <sheetName val="Ng_hàng_xà+bulong9"/>
      <sheetName val="chiet_tinh9"/>
      <sheetName val="S-curve_9"/>
      <sheetName val="DM_60619"/>
      <sheetName val="CT_vat_lieu9"/>
      <sheetName val="So_doi_chieu_LC9"/>
      <sheetName val="Bang_3_Chi_tiet_phan_Dz8"/>
      <sheetName val="Commercial_value9"/>
      <sheetName val="project_management9"/>
      <sheetName val="REINF_9"/>
      <sheetName val="Rates_20099"/>
      <sheetName val="Du_toan9"/>
      <sheetName val="MAIN_GATE_HOUSE9"/>
      <sheetName val="TONG_HOP_VL-NC9"/>
      <sheetName val="Bang_KL9"/>
      <sheetName val="MH_RATE9"/>
      <sheetName val="07Base_Cost8"/>
      <sheetName val="rate_material8"/>
      <sheetName val="DG_thep_ma_kem9"/>
      <sheetName val="Lcau_-_Lxuc9"/>
      <sheetName val="Equip_8"/>
      <sheetName val="A1_CN8"/>
      <sheetName val="Đầu_vào8"/>
      <sheetName val="Chi_tiet_XD_TBA8"/>
      <sheetName val="Trạm_biến_áp8"/>
      <sheetName val="Đơn_Giá_8"/>
      <sheetName val="CT-0_4KV8"/>
      <sheetName val="Chenh_lech_vat_tu8"/>
      <sheetName val="Diện_tích8"/>
      <sheetName val="1_Khái_toán8"/>
      <sheetName val="TONG_HOP_T5_19988"/>
      <sheetName val="KL_Chi_tiết_Xây_tô8"/>
      <sheetName val="DG_DZ9"/>
      <sheetName val="DG_TBA9"/>
      <sheetName val="Xay_lapduongR38"/>
      <sheetName val="HÐ_ngoài9"/>
      <sheetName val="DM_678"/>
      <sheetName val="Data_Input9"/>
      <sheetName val="Bill_1_Quy_dinh_chung8"/>
      <sheetName val="1_R18_BF8"/>
      <sheetName val="6_External_works-R188"/>
      <sheetName val="Gia_vat_tu8"/>
      <sheetName val="Elect_(3)8"/>
      <sheetName val="plan&amp;section_of_foundation8"/>
      <sheetName val="design_criteria8"/>
      <sheetName val="Bond_수수료_계산_포맷8"/>
      <sheetName val="ITB_COST8"/>
      <sheetName val="4_PTDG8"/>
      <sheetName val="final_list_200524"/>
      <sheetName val="LV_data8"/>
      <sheetName val="Chi_tiet_KL8"/>
      <sheetName val="Tổng_hợp_KL8"/>
      <sheetName val="04_-_XUONG_DET_B8"/>
      <sheetName val="Phan_khai_KLuong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Area_Cal8"/>
      <sheetName val="PAGE_18"/>
      <sheetName val="EIRR&gt;_28"/>
      <sheetName val="Đầu_tư8"/>
      <sheetName val="Project_Data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A1,_May8"/>
      <sheetName val="Vat_lieu8"/>
      <sheetName val="Bang_trong_luong_rieng_thep8"/>
      <sheetName val="6PILE__(돌출)8"/>
      <sheetName val="gia_cong_tac8"/>
      <sheetName val="Measure_13068"/>
      <sheetName val="_Bill_5-Earthing_2_-_Add_Works8"/>
      <sheetName val="Cước_VC_+_ĐM_CP_Tư_vấn8"/>
      <sheetName val="Hệ_số8"/>
      <sheetName val="Door_and_window4"/>
      <sheetName val="DETAIL_8"/>
      <sheetName val="GV1-D13_(Casement_door)8"/>
      <sheetName val="ESTI_8"/>
      <sheetName val="CẤP_THOÁT_NƯỚC8"/>
      <sheetName val="TH_MTC8"/>
      <sheetName val="TH_N_Cong8"/>
      <sheetName val="THDT_goi_thau_TB8"/>
      <sheetName val="Tien_do_TV8"/>
      <sheetName val="Harga_ME_8"/>
      <sheetName val="Analisa_Gabungan8"/>
      <sheetName val="bridge_#_18"/>
      <sheetName val="Isolasi_Luar_Dalam8"/>
      <sheetName val="Isolasi_Luar8"/>
      <sheetName val="KL_san_lap8"/>
      <sheetName val="Chi_tiet8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Chenh_lech_ca_may8"/>
      <sheetName val="TLg_CN&amp;Laixe8"/>
      <sheetName val="TLg_CN&amp;Laixe_(2)8"/>
      <sheetName val="TLg_Laitau8"/>
      <sheetName val="TLg_Laitau_(2)8"/>
      <sheetName val="KHOI_LUONG8"/>
      <sheetName val="Equipment_list_(PAC)8"/>
      <sheetName val="TINH_KHOI_LUONG8"/>
      <sheetName val="DATA_BASE8"/>
      <sheetName val="BẢNG_KHỐI_LƯỢNG_TỔNG_HỢP7"/>
      <sheetName val="Buy_vs__Lease_Car8"/>
      <sheetName val="CP_Khac_cuoc_VC7"/>
      <sheetName val="Budget_Code7"/>
      <sheetName val="CTKL_KTX_HT7"/>
      <sheetName val="2_Chiet_tinh7"/>
      <sheetName val="subcon_sched8"/>
      <sheetName val="NHÀ_NHẬP_LIỆU7"/>
      <sheetName val="MÓNG_SILO7"/>
      <sheetName val="PRE_(E)8"/>
      <sheetName val="HVAC_BLOCK_B48"/>
      <sheetName val="Tong_du_toan7"/>
      <sheetName val="Bill_2_-_ketcau7"/>
      <sheetName val="13-Cốt_thép_(10mm&lt;D≤18mm)_FO167"/>
      <sheetName val="du_lieu_du_toan7"/>
      <sheetName val="BANCO_(2)7"/>
      <sheetName val="MT_DPin_(2)7"/>
      <sheetName val="Chi_tiet_lan_can7"/>
      <sheetName val="BOQ_THAN7"/>
      <sheetName val="DL_ĐẦU_VÀO7"/>
      <sheetName val="D_&amp;_W_sizes7"/>
      <sheetName val="Analisa_&amp;_Upah7"/>
      <sheetName val="Purchase_Order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MAU_8A7"/>
      <sheetName val="MAU_8B7"/>
      <sheetName val="MAU_97"/>
      <sheetName val="MAU_107"/>
      <sheetName val="cash_budget7"/>
      <sheetName val="Dlieu_dau_vao7"/>
      <sheetName val="CHI_PHI5"/>
      <sheetName val="02__PTDG7"/>
      <sheetName val="Chiết_tính7"/>
      <sheetName val="DK1_Don_gia7"/>
      <sheetName val="Income_Statement7"/>
      <sheetName val="Shareholders'_Equity7"/>
      <sheetName val="VC_xd5"/>
      <sheetName val="Gia_VLTB5"/>
      <sheetName val="B_Luong5"/>
      <sheetName val="C_May5"/>
      <sheetName val="Don_gia_(khong_in)7"/>
      <sheetName val="1_MONG_1-27"/>
      <sheetName val="TB_NẶNG5"/>
      <sheetName val="Du_tru_CP-Bieu_015"/>
      <sheetName val="dm_3665"/>
      <sheetName val="DM_60605"/>
      <sheetName val="Dự_thầu5"/>
      <sheetName val="Nhap_VT_oto5"/>
      <sheetName val="Hao_phí5"/>
      <sheetName val="Ma_don_vi5"/>
      <sheetName val="bang_cc5"/>
      <sheetName val="Structure_data5"/>
      <sheetName val="TH_TN5"/>
      <sheetName val="Bill_No_3_-_Prov__Sum_(Ph2&amp;3)5"/>
      <sheetName val="đọc_số5"/>
      <sheetName val="CP_Du_phong5"/>
      <sheetName val="THCP_Lap_dat5"/>
      <sheetName val="THCP_xay_dung5"/>
      <sheetName val="Tong_hop_kinh_phi5"/>
      <sheetName val="CP_HMC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Ｎｏ_135"/>
      <sheetName val="DGchitiet_5"/>
      <sheetName val="wk_prgs5"/>
      <sheetName val="AG_Pipe_Qty_Analysis5"/>
      <sheetName val="2_1Warehouse_15"/>
      <sheetName val="CĂN_HỘ_T16-17_5"/>
      <sheetName val="TRỤC_ĐỨNG_THOÁT_BẨN_T15-175"/>
      <sheetName val="TRỤC_ĐỨNG_TM_T15-175"/>
      <sheetName val="TK_chi_tiet5"/>
      <sheetName val="Bill_2-Road_HR25"/>
      <sheetName val="Bill_3_-_Softscape_HR25"/>
      <sheetName val="THEP_TAM5"/>
      <sheetName val="THEP_HÌNH5"/>
      <sheetName val="THEP_HINH5"/>
      <sheetName val="XA_GO5"/>
      <sheetName val="BANG_TRA5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1_Requisition(E)5"/>
      <sheetName val="So_lieu_chung4"/>
      <sheetName val="Q_A01_2-Sh4"/>
      <sheetName val="DG_14264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phan_tic_chi_tiet5"/>
      <sheetName val="TONG_HOP5"/>
      <sheetName val="Tổng_GT5"/>
      <sheetName val="Chi_tiết_KL5"/>
      <sheetName val="khấu_trừ_phạt5"/>
      <sheetName val="GT__KHAU_TRU5"/>
      <sheetName val="HAO_HUT_VAT_TU_(2)5"/>
      <sheetName val="cao_độ5"/>
      <sheetName val="Data_Wall5"/>
      <sheetName val="3__CNT4"/>
      <sheetName val="unit_price_list(M)4"/>
      <sheetName val="Theo_doi_Doanh_thu_20174"/>
      <sheetName val="Gia_vat_lieu4"/>
      <sheetName val="gui_BKCT4"/>
      <sheetName val="Precios_unitarios_AXH4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Danh_mục3"/>
      <sheetName val="PV_Graph_Data3"/>
      <sheetName val="1_2_Staff_Schedule4"/>
      <sheetName val="BẢNG_ÁP_GIÁ_(in)4"/>
      <sheetName val="NT_(KL)_IN4"/>
      <sheetName val="DOM_D24"/>
      <sheetName val="nhà_ăn4"/>
      <sheetName val="Công_nhật4"/>
      <sheetName val="btkt_cột4"/>
      <sheetName val="Bảng_đo_bóc_KL_OLK-094"/>
      <sheetName val="6_3_CHI_TIET_OLK-094"/>
      <sheetName val="BTK-Dai_Hoc_Kien_Giang3"/>
      <sheetName val="0__Input4"/>
      <sheetName val="TH_các_CC4"/>
      <sheetName val="Don_gia_chi_tiet_DIEN_24"/>
      <sheetName val="Chi_tiet_-tong_9_thang4"/>
      <sheetName val="TH_VL,_NC,_DDHT_Thanhphuoc4"/>
      <sheetName val="1__Office4"/>
      <sheetName val="KL_THEP__GIAM_DO_DUNG_COUPLER4"/>
      <sheetName val="01_KL_THÉP_NHẬP_VỀ4"/>
      <sheetName val="2__NT_VLDV4"/>
      <sheetName val="GHI_CHU4"/>
      <sheetName val="1_BB_LMHT4"/>
      <sheetName val="Bê_tông_bảo_vệ4"/>
      <sheetName val="01__Data4"/>
      <sheetName val="Neo,_nối_cốt_thép_dầm,_cột4"/>
      <sheetName val="Uốn_móc_cốt_thép4"/>
      <sheetName val="Tiêu_chuẩn_cốt_thép4"/>
      <sheetName val="Doi_so4"/>
      <sheetName val="1_Civil_(Org)4"/>
      <sheetName val="Bill_Prelim-CDT4"/>
      <sheetName val="Bill_BPTC-CDT4"/>
      <sheetName val="Chi_tiết_BPTC4"/>
      <sheetName val="Bill_BPTC-CDT_(PA_MCT_CDT)4"/>
      <sheetName val="Chi_tiết_BPTC_(PA_MCT_CDT)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DM_336cai_tao4"/>
      <sheetName val="MTO_REV_2(ARMOR)4"/>
      <sheetName val="Dutoan_KL3"/>
      <sheetName val="doanh_thu3"/>
      <sheetName val="KHOI_LUONG15-4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L_thep_lam_sat4"/>
      <sheetName val="DM-VNT_ko_sd4"/>
      <sheetName val="B3A_-_TOWER_A4"/>
      <sheetName val="Annex_B4"/>
      <sheetName val="Cotthep_NPT4"/>
      <sheetName val="vl_nc_mtc4"/>
      <sheetName val="Tien_Thuong4"/>
      <sheetName val="NC_XL_6T_cuoi_01_CTy4"/>
      <sheetName val="Data_-6T_dau4"/>
      <sheetName val="Cong_6T4"/>
      <sheetName val="TLG_Type4"/>
      <sheetName val="Tong_hop_vat_tu4"/>
      <sheetName val="1_San_4"/>
      <sheetName val="Dot_44"/>
      <sheetName val="HRG_BHN4"/>
      <sheetName val="CĂN_ĐH4"/>
      <sheetName val="Chi_phi_van_chuyen4"/>
      <sheetName val="Dgia_vat_tu4"/>
      <sheetName val="Don_gia_III4"/>
      <sheetName val="D÷_liÖu4"/>
      <sheetName val="DT_hợp_đồng3"/>
      <sheetName val="Bảng_KL_đợt_13"/>
      <sheetName val="2_CDPS4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Heso_DZ4"/>
      <sheetName val="Bieu_gia_HD3"/>
      <sheetName val="Div26_-_Elect4"/>
      <sheetName val="7_Khau_tru_4"/>
      <sheetName val="4_CĂN4"/>
      <sheetName val="DG_BINH_THUAN4"/>
      <sheetName val="GIÁ_DỰ_THẦU_30_CĂN3"/>
      <sheetName val="DG_Chi_tiet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DZ_22KV3"/>
      <sheetName val="_1710_HOINGHINLD3"/>
      <sheetName val="99_(2)3"/>
      <sheetName val="134_3"/>
      <sheetName val="DG_49703"/>
      <sheetName val="Don_gia_NC4"/>
      <sheetName val="B-2__(DPP)4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TINH_GIA_-_SAN_XUAT_Vertico3"/>
      <sheetName val="gia_vt,nc,may3"/>
      <sheetName val="Huong_dan3"/>
      <sheetName val="Tổng_hợp_KPHM3"/>
      <sheetName val="5_2_1_Đo_bóc_KL_OLK-063"/>
      <sheetName val="MB_DT_023"/>
      <sheetName val="Dinh_muc3"/>
      <sheetName val="KS_tuyen3"/>
      <sheetName val="Bang_chiet_tinh_TBA3"/>
      <sheetName val="4_2_1_Đo_bóc_KL_OLK-063"/>
      <sheetName val="4_1_1_CHI_TIET_OLK-063"/>
      <sheetName val="Cash_Flow3"/>
      <sheetName val="So_sanh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Tong_DT2"/>
      <sheetName val="phan_tich_don_gia2"/>
      <sheetName val="DT_san_XD-So_lieu_cu2"/>
      <sheetName val="EQUIP_LIST3"/>
      <sheetName val="Electrical_Works3"/>
      <sheetName val="H_T__INCOMING_SYSTEM3"/>
      <sheetName val="BU_LONG3"/>
      <sheetName val="THONG_SO3"/>
      <sheetName val="Đơn_giá_chi_tiết_TN_393"/>
      <sheetName val="DT__NHA_XUONG3"/>
      <sheetName val="Gia_VT-TB3"/>
      <sheetName val="noi_suy_xa3"/>
      <sheetName val="noi_suy_xa_thu_hoi3"/>
      <sheetName val="Tính_giá_NC3"/>
      <sheetName val="Tiên_lượng3"/>
      <sheetName val="SL_cước3"/>
      <sheetName val="Thuyết_minh3"/>
      <sheetName val="Đơn_giá_máy3"/>
      <sheetName val="¥_3"/>
      <sheetName val="FF-2_(1)2"/>
      <sheetName val="Labour_Summary15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Unit_price2"/>
      <sheetName val="Bill_No_1_63"/>
      <sheetName val="Bill_No_1_103"/>
      <sheetName val="Bill_No_3_33"/>
      <sheetName val="Bill_No_1_43"/>
      <sheetName val="Bill_No_1_73"/>
      <sheetName val="Summary_Bill_No__33"/>
      <sheetName val="Bán_đợt_1_trang2"/>
      <sheetName val="Chiet_tinh_dz352"/>
      <sheetName val="3__KC_-_PODIUM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Tien_Luong2"/>
      <sheetName val="Unit_price(Updateting)2"/>
      <sheetName val="Cost_List2"/>
      <sheetName val="Detail_Cost2"/>
      <sheetName val="IC_Price_New2"/>
      <sheetName val="Summary_Table2"/>
      <sheetName val="Sales_Person2"/>
      <sheetName val="Bidding_Entity2"/>
      <sheetName val="CHITIET_VL-NCHT1_(2)2"/>
      <sheetName val="Bù_giá_CM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SGC RATE"/>
      <sheetName val="DSNV"/>
      <sheetName val="Y-WORK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ThongtinDN"/>
      <sheetName val="DM DU AN"/>
      <sheetName val="DM TP."/>
      <sheetName val="File Chi tiet"/>
      <sheetName val="변경내역"/>
      <sheetName val="CTGS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Chu_dau_tu"/>
      <sheetName val="Cau_tao_gia_xay_to"/>
      <sheetName val="THÔNG_TIN"/>
      <sheetName val="THPDMoi__(2)"/>
      <sheetName val="t-h_HA_THE"/>
      <sheetName val="TH_XL"/>
      <sheetName val="CHITIET_VL-NC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Chu_dau_tu1"/>
      <sheetName val="Cau_tao_gia_xay_to1"/>
      <sheetName val="THÔNG_TIN1"/>
      <sheetName val="THPDMoi__(2)1"/>
      <sheetName val="t-h_HA_THE1"/>
      <sheetName val="TH_XL1"/>
      <sheetName val="CHITIET_VL-NC1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SGC_RATE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DM_DU_AN"/>
      <sheetName val="DM_TP_"/>
      <sheetName val="File_Chi_tiet"/>
      <sheetName val="w't table"/>
      <sheetName val="AASHTO92"/>
      <sheetName val="PU_ITALY_29"/>
      <sheetName val="TH_DZ3517"/>
      <sheetName val="Tro_giup28"/>
      <sheetName val="RAB_AR&amp;STR15"/>
      <sheetName val="chi_tiet_TBA15"/>
      <sheetName val="chi_tiet_C15"/>
      <sheetName val="Customize_Your_Purchase_Order15"/>
      <sheetName val="CHITIET_VL-NC-TT_-1p15"/>
      <sheetName val="CHITIET_VL-NC-TT-3p14"/>
      <sheetName val="TONG_HOP_VL-NC_TT15"/>
      <sheetName val="KPVC-BD_15"/>
      <sheetName val="Don_gia15"/>
      <sheetName val="DON_GIA_TRAM_(3)15"/>
      <sheetName val="DON_GIA_CAN_THO17"/>
      <sheetName val="Don_gia_chi_tiet15"/>
      <sheetName val="HĐ_ngoài14"/>
      <sheetName val="XT_Buoc_314"/>
      <sheetName val="dongia_(2)14"/>
      <sheetName val="7606_DZ15"/>
      <sheetName val="project_management14"/>
      <sheetName val="Adix_A14"/>
      <sheetName val="S-curve_14"/>
      <sheetName val="REINF_14"/>
      <sheetName val="Rates_200914"/>
      <sheetName val="So_doi_chieu_LC14"/>
      <sheetName val="MAIN_GATE_HOUSE14"/>
      <sheetName val="Commercial_value14"/>
      <sheetName val="Du_toan14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chiet_tinh14"/>
      <sheetName val="Ng_hàng_xà+bulong14"/>
      <sheetName val="MH_RATE14"/>
      <sheetName val="TONG_HOP_VL-NC14"/>
      <sheetName val="Bang_KL14"/>
      <sheetName val="Đầu_vào13"/>
      <sheetName val="Lcau_-_Lxuc14"/>
      <sheetName val="Chi_tiet_XD_TBA13"/>
      <sheetName val="DM_606114"/>
      <sheetName val="DG_thep_ma_kem14"/>
      <sheetName val="CT_vat_lieu14"/>
      <sheetName val="Equip_13"/>
      <sheetName val="A1_CN13"/>
      <sheetName val="TONG_HOP_T5_199813"/>
      <sheetName val="Chenh_lech_vat_tu13"/>
      <sheetName val="Trạm_biến_áp13"/>
      <sheetName val="Đơn_Giá_13"/>
      <sheetName val="Diện_tích13"/>
      <sheetName val="1_Khái_toán13"/>
      <sheetName val="CT-0_4KV13"/>
      <sheetName val="DG_DZ14"/>
      <sheetName val="DG_TBA14"/>
      <sheetName val="rate_material13"/>
      <sheetName val="KL_Chi_tiết_Xây_tô13"/>
      <sheetName val="07Base_Cost13"/>
      <sheetName val="GV1-D13_(Casement_door)13"/>
      <sheetName val="Bill_1_Quy_dinh_chung13"/>
      <sheetName val="1_R18_BF13"/>
      <sheetName val="6_External_works-R1813"/>
      <sheetName val="Phan_khai_KLuong13"/>
      <sheetName val="Chi_tiet_KL13"/>
      <sheetName val="Tổng_hợp_KL13"/>
      <sheetName val="04_-_XUONG_DET_B13"/>
      <sheetName val="_0313"/>
      <sheetName val="chieu_day_san13"/>
      <sheetName val="Podium_Concrete_Works13"/>
      <sheetName val="KLCT-_TOWER13"/>
      <sheetName val="KLCT-_PODIUM13"/>
      <sheetName val="Area_Cal13"/>
      <sheetName val="Gia_thanh_chuoi_su13"/>
      <sheetName val="Tiep_dia13"/>
      <sheetName val="Don_gia_vung_III-Can_Tho13"/>
      <sheetName val="Loại_Vật_tư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Xay_lapduongR313"/>
      <sheetName val="DM_6713"/>
      <sheetName val="Project_Data13"/>
      <sheetName val="6787CWFASE2CASE2_00_xls13"/>
      <sheetName val="Đầu_tư13"/>
      <sheetName val="EIRR&gt;_2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Tower_-_Concrete_Works13"/>
      <sheetName val="Bill-04_ket_cau_thap-_UNI13"/>
      <sheetName val="dg_tphcm13"/>
      <sheetName val="T_KÊ_K_CẤU13"/>
      <sheetName val="gia_cong_tac13"/>
      <sheetName val="4_PTDG13"/>
      <sheetName val="A1,_May13"/>
      <sheetName val="Vat_lieu13"/>
      <sheetName val="Data_Input14"/>
      <sheetName val="Measure_130613"/>
      <sheetName val="HÐ_ngoài14"/>
      <sheetName val="6PILE__(돌출)13"/>
      <sheetName val="Bill_01_-_CTN13"/>
      <sheetName val="Bill_2_2_Villa_2_beds13"/>
      <sheetName val="Analisa_Gabungan13"/>
      <sheetName val="Isolasi_Luar_Dalam13"/>
      <sheetName val="Isolasi_Luar13"/>
      <sheetName val="Harga_ME_13"/>
      <sheetName val="TH_N_Cong13"/>
      <sheetName val="ESTI_13"/>
      <sheetName val="KL_san_lap13"/>
      <sheetName val="TH_Vat_tu13"/>
      <sheetName val="_Bill_5-Earthing_2_-_Add_Work13"/>
      <sheetName val="Chenh_lech_ca_may13"/>
      <sheetName val="TLg_CN&amp;Laixe13"/>
      <sheetName val="TLg_CN&amp;Laixe_(2)13"/>
      <sheetName val="TLg_Laitau13"/>
      <sheetName val="TLg_Laitau_(2)13"/>
      <sheetName val="Bang_trong_luong_rieng_thep13"/>
      <sheetName val="Cước_VC_+_ĐM_CP_Tư_vấn13"/>
      <sheetName val="Hệ_số13"/>
      <sheetName val="DETAIL_13"/>
      <sheetName val="final_list_200529"/>
      <sheetName val="LV_data13"/>
      <sheetName val="Gia_vat_tu13"/>
      <sheetName val="CẤP_THOÁT_NƯỚC13"/>
      <sheetName val="THDT_goi_thau_TB13"/>
      <sheetName val="Tien_do_TV13"/>
      <sheetName val="bridge_#_113"/>
      <sheetName val="Bang_3_Chi_tiet_phan_Dz13"/>
      <sheetName val="KHOI_LUONG13"/>
      <sheetName val="TH_MTC13"/>
      <sheetName val="CTKL_KTX_HT12"/>
      <sheetName val="Buy_vs__Lease_Car13"/>
      <sheetName val="DATA_BASE13"/>
      <sheetName val="Equipment_list_(PAC)13"/>
      <sheetName val="TINH_KHOI_LUONG13"/>
      <sheetName val="Chi_tiet13"/>
      <sheetName val="subcon_sched13"/>
      <sheetName val="NHÀ_NHẬP_LIỆU12"/>
      <sheetName val="MÓNG_SILO12"/>
      <sheetName val="PRE_(E)13"/>
      <sheetName val="HVAC_BLOCK_B413"/>
      <sheetName val="2_Chiet_tinh12"/>
      <sheetName val="BẢNG_KHỐI_LƯỢNG_TỔNG_HỢP12"/>
      <sheetName val="CP_Khac_cuoc_VC12"/>
      <sheetName val="Budget_Code12"/>
      <sheetName val="Tong_du_toan12"/>
      <sheetName val="Bill_2_-_ketcau12"/>
      <sheetName val="Chi_tiet_lan_can12"/>
      <sheetName val="13-Cốt_thép_(10mm&lt;D≤18mm)_FO112"/>
      <sheetName val="du_lieu_du_toan12"/>
      <sheetName val="BOQ_THAN12"/>
      <sheetName val="DL_ĐẦU_VÀO12"/>
      <sheetName val="Purchase_Order12"/>
      <sheetName val="D_&amp;_W_sizes12"/>
      <sheetName val="Analisa_&amp;_Upah12"/>
      <sheetName val="Du_lieu13"/>
      <sheetName val="Phan_tich12"/>
      <sheetName val="Luong_NII12"/>
      <sheetName val="DINH_MUC_THI_NGHIEM12"/>
      <sheetName val="Luong_NI12"/>
      <sheetName val="CT_Thang_Mo12"/>
      <sheetName val="CT__PL12"/>
      <sheetName val="cash_budget12"/>
      <sheetName val="dongia__2_12"/>
      <sheetName val="GOC-KO_IN12"/>
      <sheetName val="MAU_8A12"/>
      <sheetName val="MAU_8B12"/>
      <sheetName val="MAU_912"/>
      <sheetName val="MAU_1012"/>
      <sheetName val="Thép_CKN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VC_xd10"/>
      <sheetName val="Gia_VLTB10"/>
      <sheetName val="B_Luong10"/>
      <sheetName val="C_May10"/>
      <sheetName val="Dlieu_dau_vao12"/>
      <sheetName val="Income_Statement12"/>
      <sheetName val="Shareholders'_Equity12"/>
      <sheetName val="BANCO_(2)12"/>
      <sheetName val="MT_DPin_(2)12"/>
      <sheetName val="02__PTDG12"/>
      <sheetName val="Chiết_tính12"/>
      <sheetName val="TB_NẶNG10"/>
      <sheetName val="Du_tru_CP-Bieu_0110"/>
      <sheetName val="Don_gia_(khong_in)12"/>
      <sheetName val="DK1_Don_gia12"/>
      <sheetName val="1_MONG_1-212"/>
      <sheetName val="THEP_TAM10"/>
      <sheetName val="THEP_HÌNH10"/>
      <sheetName val="THEP_HINH10"/>
      <sheetName val="XA_GO10"/>
      <sheetName val="BANG_TRA10"/>
      <sheetName val="wk_prgs10"/>
      <sheetName val="Ma_don_vi10"/>
      <sheetName val="bang_cc10"/>
      <sheetName val="dm_36610"/>
      <sheetName val="DM_606010"/>
      <sheetName val="Dự_thầu10"/>
      <sheetName val="Nhap_VT_oto10"/>
      <sheetName val="Hao_phí10"/>
      <sheetName val="Structure_data10"/>
      <sheetName val="đọc_số10"/>
      <sheetName val="Bill_No_3_-_Prov__Sum_(Ph2&amp;3)10"/>
      <sheetName val="TH_TN10"/>
      <sheetName val="CP_Du_phong10"/>
      <sheetName val="THCP_Lap_dat10"/>
      <sheetName val="THCP_xay_dung10"/>
      <sheetName val="Tong_hop_kinh_phi10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on_gia_chi_tiet_DIEN_29"/>
      <sheetName val="Data_Wall10"/>
      <sheetName val="2_1Warehouse_110"/>
      <sheetName val="AG_Pipe_Qty_Analysis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Ptvl_10"/>
      <sheetName val="Ｎｏ_1310"/>
      <sheetName val="DGchitiet_10"/>
      <sheetName val="CP_HMC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CHI_PHI10"/>
      <sheetName val="TK_chi_tiet10"/>
      <sheetName val="Bill_2-Road_HR210"/>
      <sheetName val="Bill_3_-_Softscape_HR210"/>
      <sheetName val="CĂN_HỘ_T16-17_10"/>
      <sheetName val="TRỤC_ĐỨNG_THOÁT_BẨN_T15-1710"/>
      <sheetName val="TRỤC_ĐỨNG_TM_T15-1710"/>
      <sheetName val="Móng,_nền_10"/>
      <sheetName val="1_Requisition(E)10"/>
      <sheetName val="TONG_HOP10"/>
      <sheetName val="Tổng_GT10"/>
      <sheetName val="Chi_tiết_KL10"/>
      <sheetName val="khấu_trừ_phạt10"/>
      <sheetName val="GT__KHAU_TRU10"/>
      <sheetName val="HAO_HUT_VAT_TU_(2)10"/>
      <sheetName val="cao_độ10"/>
      <sheetName val="phan_tic_chi_tiet10"/>
      <sheetName val="DG_14269"/>
      <sheetName val="Theo_doi_Doanh_thu_20179"/>
      <sheetName val="KL_THEP__GIAM_DO_DUNG_COUPLER9"/>
      <sheetName val="01_KL_THÉP_NHẬP_VỀ9"/>
      <sheetName val="2__NT_VLDV9"/>
      <sheetName val="GHI_CHU9"/>
      <sheetName val="1_BB_LMHT9"/>
      <sheetName val="gui_BKCT9"/>
      <sheetName val="Gia_vat_lieu9"/>
      <sheetName val="Precios_unitarios_AXH9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MB_DT_028"/>
      <sheetName val="3__CNT9"/>
      <sheetName val="unit_price_list(M)9"/>
      <sheetName val="So_lieu_chung9"/>
      <sheetName val="TH_VL,_NC,_DDHT_Thanhphuoc9"/>
      <sheetName val="Chi_tiet_-tong_9_thang9"/>
      <sheetName val="BẢNG_ÁP_GIÁ_(in)9"/>
      <sheetName val="NT_(KL)_IN9"/>
      <sheetName val="DOM_D29"/>
      <sheetName val="nhà_ăn9"/>
      <sheetName val="Công_nhật9"/>
      <sheetName val="btkt_cột9"/>
      <sheetName val="Bê_tông_bảo_vệ9"/>
      <sheetName val="01__Data9"/>
      <sheetName val="Neo,_nối_cốt_thép_dầm,_cột9"/>
      <sheetName val="Uốn_móc_cốt_thép9"/>
      <sheetName val="Tiêu_chuẩn_cốt_thép9"/>
      <sheetName val="Doi_so9"/>
      <sheetName val="1_2_Staff_Schedule9"/>
      <sheetName val="0__Input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Cotthep_NPT9"/>
      <sheetName val="vl_nc_mtc9"/>
      <sheetName val="Heso_DZ9"/>
      <sheetName val="DM_336cai_tao9"/>
      <sheetName val="DG_BINH_THUAN9"/>
      <sheetName val="Tien_Thuong9"/>
      <sheetName val="NC_XL_6T_cuoi_01_CTy9"/>
      <sheetName val="Data_-6T_dau9"/>
      <sheetName val="Cong_6T9"/>
      <sheetName val="KL_thep_lam_sat9"/>
      <sheetName val="B3A_-_TOWER_A9"/>
      <sheetName val="Annex_B9"/>
      <sheetName val="Bill_Prelim-CDT9"/>
      <sheetName val="Bill_BPTC-CDT9"/>
      <sheetName val="Chi_tiết_BPTC9"/>
      <sheetName val="Bill_BPTC-CDT_(PA_MCT_CDT)9"/>
      <sheetName val="Chi_tiết_BPTC_(PA_MCT_CDT)9"/>
      <sheetName val="1_Civil_(Org)9"/>
      <sheetName val="DM-VNT_ko_sd9"/>
      <sheetName val="Bảng_đo_bóc_KL_OLK-099"/>
      <sheetName val="6_3_CHI_TIET_OLK-099"/>
      <sheetName val="1__Office9"/>
      <sheetName val="KHOI_LUONG15-49"/>
      <sheetName val="Tong_hop_vat_tu9"/>
      <sheetName val="1_San_9"/>
      <sheetName val="TLG_Type9"/>
      <sheetName val="Dgia_vat_tu9"/>
      <sheetName val="Don_gia_III9"/>
      <sheetName val="D÷_liÖu9"/>
      <sheetName val="Dot_4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Chi_phi_van_chuyen9"/>
      <sheetName val="TH_các_CC9"/>
      <sheetName val="Div26_-_Elect9"/>
      <sheetName val="7_Khau_tru_9"/>
      <sheetName val="Q_A01_2-Sh9"/>
      <sheetName val="4_CĂN9"/>
      <sheetName val="2_CDPS9"/>
      <sheetName val="Don_gia_NC9"/>
      <sheetName val="DT_hợp_đồng8"/>
      <sheetName val="Bảng_KL_đợt_18"/>
      <sheetName val="Danh_mục8"/>
      <sheetName val="Bieu_gia_HD8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BTK-Dai_Hoc_Kien_Giang8"/>
      <sheetName val="PV_Graph_Data8"/>
      <sheetName val="doanh_thu8"/>
      <sheetName val="Dutoan_KL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B-2__(DPP)9"/>
      <sheetName val="Huong_dan8"/>
      <sheetName val="gia_vt,nc,may8"/>
      <sheetName val="Financ__Overview8"/>
      <sheetName val="TINH_GIA_-_SAN_XUAT_Vertico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Tổng_hợp_KPHM8"/>
      <sheetName val="Dinh_muc8"/>
      <sheetName val="GIÁ_DỰ_THẦU_30_CĂN8"/>
      <sheetName val="5_2_1_Đo_bóc_KL_OLK-068"/>
      <sheetName val="KS_tuyen8"/>
      <sheetName val="Bang_chiet_tinh_TBA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Cash_Flow8"/>
      <sheetName val="BU_LONG8"/>
      <sheetName val="DT__NHA_XUONG8"/>
      <sheetName val="EQUIP_LIST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So_sanh8"/>
      <sheetName val="Electrical_Works8"/>
      <sheetName val="H_T__INCOMING_SYSTEM8"/>
      <sheetName val="Tính_giá_NC8"/>
      <sheetName val="Tiên_lượng8"/>
      <sheetName val="SL_cước8"/>
      <sheetName val="¥_8"/>
      <sheetName val="Gia_VT-TB8"/>
      <sheetName val="noi_suy_xa8"/>
      <sheetName val="noi_suy_xa_thu_hoi8"/>
      <sheetName val="Thuyết_minh8"/>
      <sheetName val="Đơn_giá_máy8"/>
      <sheetName val="Tong_DT7"/>
      <sheetName val="phan_tich_don_gia7"/>
      <sheetName val="Bill_No_1_68"/>
      <sheetName val="Bill_No_1_108"/>
      <sheetName val="Bill_No_3_38"/>
      <sheetName val="Bill_No_1_48"/>
      <sheetName val="Bill_No_1_78"/>
      <sheetName val="Summary_Bill_No__38"/>
      <sheetName val="DT_san_XD-So_lieu_cu7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Unit_price7"/>
      <sheetName val="Bán_đợt_1_trang7"/>
      <sheetName val="Chiet_tinh_dz357"/>
      <sheetName val="3__KC_-_PODIUM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Tien_Luong7"/>
      <sheetName val="Unit_price(Updateting)7"/>
      <sheetName val="Cost_List7"/>
      <sheetName val="Detail_Cost7"/>
      <sheetName val="IC_Price_New7"/>
      <sheetName val="Summary_Table7"/>
      <sheetName val="Sales_Person7"/>
      <sheetName val="Bidding_Entity7"/>
      <sheetName val="CHITIET_VL-NCHT1_(2)7"/>
      <sheetName val="Bù_giá_CM7"/>
      <sheetName val="Breakdown_(B)7"/>
      <sheetName val="U_P_Breakdown7"/>
      <sheetName val="IMF_Code7"/>
      <sheetName val="Subsidiary_Calculation7"/>
      <sheetName val="Phu_Bai_Bridge7"/>
      <sheetName val="5_2_1_Đo_bóc_KL_OLK-107"/>
      <sheetName val="BẢNG_DIỄN_GIẢI_KL_(7)7"/>
      <sheetName val="don_gia_1426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Bia_lot7"/>
      <sheetName val="Chu_dau_tu3"/>
      <sheetName val="Cau_tao_gia_xay_to3"/>
      <sheetName val="THÔNG_TIN3"/>
      <sheetName val="THPDMoi__(2)3"/>
      <sheetName val="t-h_HA_THE3"/>
      <sheetName val="TH_XL3"/>
      <sheetName val="CHITIET_VL-NC3"/>
      <sheetName val="SGC_RAT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DM_DU_AN1"/>
      <sheetName val="DM_TP_1"/>
      <sheetName val="File_Chi_tiet1"/>
      <sheetName val="Dashboard - BQL - VHL"/>
      <sheetName val="CauHinh"/>
      <sheetName val="Gia-VL"/>
      <sheetName val="chitietCS"/>
      <sheetName val="chitietTD"/>
      <sheetName val="PL02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DTCT"/>
      <sheetName val="Chênh lệch máy thi công"/>
      <sheetName val="Chênh lệch nhân công"/>
      <sheetName val="Chênh lệch vật liệu"/>
      <sheetName val="Share Price 2002"/>
      <sheetName val="Case"/>
      <sheetName val="SumVal"/>
      <sheetName val="Danh mục khối"/>
      <sheetName val="Danh mục đơn vị -phòng chức năn"/>
      <sheetName val="toyota"/>
      <sheetName val="kl3p"/>
      <sheetName val="kl3pct"/>
      <sheetName val="kl3pcto"/>
      <sheetName val="Tcd"/>
      <sheetName val="Takeoff"/>
      <sheetName val="Probbl - Production"/>
      <sheetName val="KEILA TP 2020-07"/>
      <sheetName val="COST_ACC"/>
      <sheetName val="DG05new"/>
      <sheetName val="DLTA"/>
      <sheetName val="Backup"/>
      <sheetName val="CHI PHÍ NHÔM"/>
      <sheetName val="BILL 34Āᐁë"/>
      <sheetName val="BILL 34Āᐁë_x0000__x0000__x0001__x0000__x0000__x0000_ HẦM"/>
      <sheetName val="Currency Rate"/>
      <sheetName val="BQ"/>
      <sheetName val="ca_máy3"/>
      <sheetName val="TABLE-A"/>
      <sheetName val="2. BBNT KLHT"/>
      <sheetName val="내역"/>
      <sheetName val="Cot"/>
      <sheetName val="CFA (ME)"/>
      <sheetName val="MEP Building"/>
      <sheetName val="QSUM"/>
      <sheetName val="lookups"/>
      <sheetName val="BANGTRA"/>
      <sheetName val="CHITIET VL-NC-TT1p"/>
      <sheetName val="Breakdown"/>
      <sheetName val="TKXM"/>
      <sheetName val="BP"/>
      <sheetName val="재료비단가(VALVE)"/>
      <sheetName val="BOM-13.11-Other(PS1+PS2)"/>
      <sheetName val="Tra_thep"/>
      <sheetName val="PAINT_SPEC"/>
      <sheetName val="SCHEDULE"/>
      <sheetName val="KUNGDEVI"/>
      <sheetName val="CFA"/>
      <sheetName val="TKLD"/>
      <sheetName val="NHOM KINH"/>
      <sheetName val="CFS3"/>
      <sheetName val="B3A-APARTMENT"/>
      <sheetName val="Auto Monthly Inputs "/>
      <sheetName val="Dinh Muc Vat Tu"/>
      <sheetName val="mã "/>
      <sheetName val="LUONG SCL"/>
      <sheetName val="Don gia XD"/>
      <sheetName val="g-vl"/>
      <sheetName val="Chao gia T12_RE"/>
      <sheetName val="Tabela1"/>
      <sheetName val="Bia1"/>
      <sheetName val="Nhập liệu"/>
      <sheetName val="MSB-DB"/>
      <sheetName val="GIAVLIEU"/>
      <sheetName val="CTtr"/>
      <sheetName val="DGKL_TRỤC NGOAI NHA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Bech_Lab"/>
      <sheetName val="NTKL"/>
      <sheetName val="Currency"/>
      <sheetName val="tra-vat-lieu"/>
      <sheetName val="기본DATA"/>
      <sheetName val="Gia NC theo TT05"/>
      <sheetName val="DEF"/>
      <sheetName val="caocot"/>
      <sheetName val="TienLuong"/>
      <sheetName val="Para"/>
      <sheetName val="PNTEXT"/>
      <sheetName val="DFA"/>
      <sheetName val="datta"/>
      <sheetName val="SLabs"/>
      <sheetName val="sortÔ"/>
      <sheetName val="ChiTietDZ"/>
      <sheetName val="VuaBT"/>
      <sheetName val="Sum ELE  CAP S1-4  "/>
      <sheetName val="Luong (TP Việt Trì)"/>
      <sheetName val="So sanh gia"/>
      <sheetName val="Luong 2622EVN"/>
      <sheetName val="Cuoc "/>
      <sheetName val="gia chao"/>
      <sheetName val="Vat lieu BTN"/>
      <sheetName val="B1_HT"/>
      <sheetName val="Dai tu"/>
      <sheetName val="DoanhNghiệp"/>
      <sheetName val="ThôngTin"/>
      <sheetName val="WEIGHT"/>
      <sheetName val="Aging Sept"/>
      <sheetName val="Invoice"/>
      <sheetName val="Aging_Sept"/>
      <sheetName val="Overview"/>
      <sheetName val="調整項目マスタ"/>
      <sheetName val="0.Data"/>
      <sheetName val="0.Data_new"/>
      <sheetName val="DSV6 Summ"/>
      <sheetName val="DG "/>
      <sheetName val="DS_GioiTinh"/>
      <sheetName val="DS_LoaiNhanVien"/>
      <sheetName val="DS_QuocTich"/>
      <sheetName val="DS_TinhTrangGiaDinh"/>
      <sheetName val="DS_TonGiao"/>
      <sheetName val="Define finishing"/>
      <sheetName val="BangQuiDoi"/>
      <sheetName val="Land Dev't. Ph-1"/>
      <sheetName val="Hac.Lots"/>
      <sheetName val="4-Lane bridge"/>
      <sheetName val="Res.Lots"/>
      <sheetName val="Spine Road"/>
      <sheetName val="264"/>
      <sheetName val="Boc KL DAT+CAT+BT"/>
      <sheetName val="Boc KL thép"/>
      <sheetName val="Bieu do nhan luc"/>
      <sheetName val="BAG-2"/>
      <sheetName val="COPING"/>
      <sheetName val="PHG"/>
      <sheetName val="Utilities"/>
      <sheetName val="Civil_B1"/>
      <sheetName val="Civil_B4"/>
      <sheetName val="THKP"/>
      <sheetName val="CaiDat"/>
      <sheetName val="CPK"/>
      <sheetName val="PHẦN KIẾN TRÚC"/>
      <sheetName val="BTH"/>
      <sheetName val="5.2.1 Đo bóc KL OLK-07"/>
      <sheetName val="Elemental Breakdown+20%"/>
      <sheetName val="CT_trtreo"/>
      <sheetName val="pphtAV"/>
      <sheetName val="표지"/>
      <sheetName val="직종인원"/>
      <sheetName val="총원dB"/>
      <sheetName val="Bank Rev"/>
      <sheetName val="dlvoid"/>
      <sheetName val="STAX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ctiet-KVThanhTri-YUR"/>
      <sheetName val="242_3 summaryOPC"/>
      <sheetName val="afis"/>
      <sheetName val="TAKE-OFF"/>
      <sheetName val="1.1General"/>
    </sheetNames>
    <sheetDataSet>
      <sheetData sheetId="0">
        <row r="9">
          <cell r="A9" t="str">
            <v>A</v>
          </cell>
        </row>
      </sheetData>
      <sheetData sheetId="1">
        <row r="9">
          <cell r="A9" t="str">
            <v>A</v>
          </cell>
        </row>
      </sheetData>
      <sheetData sheetId="2">
        <row r="9">
          <cell r="A9" t="str">
            <v>A</v>
          </cell>
        </row>
      </sheetData>
      <sheetData sheetId="3">
        <row r="9">
          <cell r="A9" t="str">
            <v>A</v>
          </cell>
        </row>
      </sheetData>
      <sheetData sheetId="4">
        <row r="9">
          <cell r="A9" t="str">
            <v>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>
        <row r="9">
          <cell r="A9" t="str">
            <v>A</v>
          </cell>
        </row>
      </sheetData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>
        <row r="9">
          <cell r="A9" t="str">
            <v>A</v>
          </cell>
        </row>
      </sheetData>
      <sheetData sheetId="518">
        <row r="9">
          <cell r="A9" t="str">
            <v>A</v>
          </cell>
        </row>
      </sheetData>
      <sheetData sheetId="519">
        <row r="9">
          <cell r="A9" t="str">
            <v>A</v>
          </cell>
        </row>
      </sheetData>
      <sheetData sheetId="520">
        <row r="9">
          <cell r="A9" t="str">
            <v>A</v>
          </cell>
        </row>
      </sheetData>
      <sheetData sheetId="521">
        <row r="9">
          <cell r="A9" t="str">
            <v>A</v>
          </cell>
        </row>
      </sheetData>
      <sheetData sheetId="522">
        <row r="9">
          <cell r="A9" t="str">
            <v>A</v>
          </cell>
        </row>
      </sheetData>
      <sheetData sheetId="523">
        <row r="9">
          <cell r="A9" t="str">
            <v>A</v>
          </cell>
        </row>
      </sheetData>
      <sheetData sheetId="524">
        <row r="9">
          <cell r="A9" t="str">
            <v>A</v>
          </cell>
        </row>
      </sheetData>
      <sheetData sheetId="525">
        <row r="9">
          <cell r="A9" t="str">
            <v>A</v>
          </cell>
        </row>
      </sheetData>
      <sheetData sheetId="526">
        <row r="9">
          <cell r="A9" t="str">
            <v>A</v>
          </cell>
        </row>
      </sheetData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>
        <row r="9">
          <cell r="A9" t="str">
            <v>A</v>
          </cell>
        </row>
      </sheetData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>
        <row r="9">
          <cell r="A9" t="str">
            <v>A</v>
          </cell>
        </row>
      </sheetData>
      <sheetData sheetId="534">
        <row r="9">
          <cell r="A9" t="str">
            <v>A</v>
          </cell>
        </row>
      </sheetData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>
        <row r="9">
          <cell r="A9" t="str">
            <v>A</v>
          </cell>
        </row>
      </sheetData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>
        <row r="9">
          <cell r="A9" t="str">
            <v>A</v>
          </cell>
        </row>
      </sheetData>
      <sheetData sheetId="542">
        <row r="9">
          <cell r="A9" t="str">
            <v>A</v>
          </cell>
        </row>
      </sheetData>
      <sheetData sheetId="543">
        <row r="9">
          <cell r="A9" t="str">
            <v>A</v>
          </cell>
        </row>
      </sheetData>
      <sheetData sheetId="544">
        <row r="9">
          <cell r="A9" t="str">
            <v>A</v>
          </cell>
        </row>
      </sheetData>
      <sheetData sheetId="545">
        <row r="9">
          <cell r="A9" t="str">
            <v>A</v>
          </cell>
        </row>
      </sheetData>
      <sheetData sheetId="546">
        <row r="9">
          <cell r="A9" t="str">
            <v>A</v>
          </cell>
        </row>
      </sheetData>
      <sheetData sheetId="547">
        <row r="9">
          <cell r="A9" t="str">
            <v>A</v>
          </cell>
        </row>
      </sheetData>
      <sheetData sheetId="548" refreshError="1"/>
      <sheetData sheetId="549">
        <row r="9">
          <cell r="A9" t="str">
            <v>A</v>
          </cell>
        </row>
      </sheetData>
      <sheetData sheetId="550">
        <row r="9">
          <cell r="A9" t="str">
            <v>A</v>
          </cell>
        </row>
      </sheetData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>
        <row r="9">
          <cell r="A9" t="str">
            <v>A</v>
          </cell>
        </row>
      </sheetData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 refreshError="1"/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 refreshError="1"/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 refreshError="1"/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 refreshError="1"/>
      <sheetData sheetId="601" refreshError="1"/>
      <sheetData sheetId="602">
        <row r="9">
          <cell r="A9" t="str">
            <v>A</v>
          </cell>
        </row>
      </sheetData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>
        <row r="9">
          <cell r="A9" t="str">
            <v>A</v>
          </cell>
        </row>
      </sheetData>
      <sheetData sheetId="619">
        <row r="9">
          <cell r="A9" t="str">
            <v>A</v>
          </cell>
        </row>
      </sheetData>
      <sheetData sheetId="620">
        <row r="9">
          <cell r="A9" t="str">
            <v>A</v>
          </cell>
        </row>
      </sheetData>
      <sheetData sheetId="621">
        <row r="9">
          <cell r="A9" t="str">
            <v>A</v>
          </cell>
        </row>
      </sheetData>
      <sheetData sheetId="622">
        <row r="9">
          <cell r="A9" t="str">
            <v>A</v>
          </cell>
        </row>
      </sheetData>
      <sheetData sheetId="623">
        <row r="9">
          <cell r="A9" t="str">
            <v>A</v>
          </cell>
        </row>
      </sheetData>
      <sheetData sheetId="624">
        <row r="9">
          <cell r="A9" t="str">
            <v>A</v>
          </cell>
        </row>
      </sheetData>
      <sheetData sheetId="625">
        <row r="9">
          <cell r="A9" t="str">
            <v>A</v>
          </cell>
        </row>
      </sheetData>
      <sheetData sheetId="626">
        <row r="9">
          <cell r="A9" t="str">
            <v>A</v>
          </cell>
        </row>
      </sheetData>
      <sheetData sheetId="627">
        <row r="9">
          <cell r="A9" t="str">
            <v>A</v>
          </cell>
        </row>
      </sheetData>
      <sheetData sheetId="628">
        <row r="9">
          <cell r="A9" t="str">
            <v>A</v>
          </cell>
        </row>
      </sheetData>
      <sheetData sheetId="629">
        <row r="9">
          <cell r="A9" t="str">
            <v>A</v>
          </cell>
        </row>
      </sheetData>
      <sheetData sheetId="630">
        <row r="9">
          <cell r="A9" t="str">
            <v>A</v>
          </cell>
        </row>
      </sheetData>
      <sheetData sheetId="631">
        <row r="9">
          <cell r="A9" t="str">
            <v>A</v>
          </cell>
        </row>
      </sheetData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>
        <row r="9">
          <cell r="A9" t="str">
            <v>A</v>
          </cell>
        </row>
      </sheetData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>
        <row r="9">
          <cell r="A9" t="str">
            <v>A</v>
          </cell>
        </row>
      </sheetData>
      <sheetData sheetId="638">
        <row r="9">
          <cell r="A9" t="str">
            <v>A</v>
          </cell>
        </row>
      </sheetData>
      <sheetData sheetId="639">
        <row r="9">
          <cell r="A9" t="str">
            <v>A</v>
          </cell>
        </row>
      </sheetData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>
        <row r="9">
          <cell r="A9" t="str">
            <v>A</v>
          </cell>
        </row>
      </sheetData>
      <sheetData sheetId="643">
        <row r="9">
          <cell r="A9" t="str">
            <v>A</v>
          </cell>
        </row>
      </sheetData>
      <sheetData sheetId="644">
        <row r="9">
          <cell r="A9" t="str">
            <v>A</v>
          </cell>
        </row>
      </sheetData>
      <sheetData sheetId="645">
        <row r="9">
          <cell r="A9" t="str">
            <v>A</v>
          </cell>
        </row>
      </sheetData>
      <sheetData sheetId="646">
        <row r="9">
          <cell r="A9" t="str">
            <v>A</v>
          </cell>
        </row>
      </sheetData>
      <sheetData sheetId="647">
        <row r="9">
          <cell r="A9" t="str">
            <v>A</v>
          </cell>
        </row>
      </sheetData>
      <sheetData sheetId="648">
        <row r="9">
          <cell r="A9" t="str">
            <v>A</v>
          </cell>
        </row>
      </sheetData>
      <sheetData sheetId="649">
        <row r="9">
          <cell r="A9" t="str">
            <v>A</v>
          </cell>
        </row>
      </sheetData>
      <sheetData sheetId="650">
        <row r="9">
          <cell r="A9" t="str">
            <v>A</v>
          </cell>
        </row>
      </sheetData>
      <sheetData sheetId="651">
        <row r="9">
          <cell r="A9" t="str">
            <v>A</v>
          </cell>
        </row>
      </sheetData>
      <sheetData sheetId="652">
        <row r="9">
          <cell r="A9" t="str">
            <v>A</v>
          </cell>
        </row>
      </sheetData>
      <sheetData sheetId="653">
        <row r="9">
          <cell r="A9" t="str">
            <v>A</v>
          </cell>
        </row>
      </sheetData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>
        <row r="9">
          <cell r="A9" t="str">
            <v>A</v>
          </cell>
        </row>
      </sheetData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>
        <row r="9">
          <cell r="A9" t="str">
            <v>A</v>
          </cell>
        </row>
      </sheetData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>
        <row r="9">
          <cell r="A9" t="str">
            <v>A</v>
          </cell>
        </row>
      </sheetData>
      <sheetData sheetId="703">
        <row r="9">
          <cell r="A9" t="str">
            <v>A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>
        <row r="9">
          <cell r="A9" t="str">
            <v>A</v>
          </cell>
        </row>
      </sheetData>
      <sheetData sheetId="786">
        <row r="9">
          <cell r="A9" t="str">
            <v>A</v>
          </cell>
        </row>
      </sheetData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>
        <row r="9">
          <cell r="A9" t="str">
            <v>A</v>
          </cell>
        </row>
      </sheetData>
      <sheetData sheetId="1318">
        <row r="9">
          <cell r="A9" t="str">
            <v>A</v>
          </cell>
        </row>
      </sheetData>
      <sheetData sheetId="1319">
        <row r="9">
          <cell r="A9" t="str">
            <v>A</v>
          </cell>
        </row>
      </sheetData>
      <sheetData sheetId="1320">
        <row r="9">
          <cell r="A9" t="str">
            <v>A</v>
          </cell>
        </row>
      </sheetData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 refreshError="1"/>
      <sheetData sheetId="1959" refreshError="1"/>
      <sheetData sheetId="1960" refreshError="1"/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>
        <row r="9">
          <cell r="A9" t="str">
            <v>A</v>
          </cell>
        </row>
      </sheetData>
      <sheetData sheetId="2539">
        <row r="9">
          <cell r="A9" t="str">
            <v>A</v>
          </cell>
        </row>
      </sheetData>
      <sheetData sheetId="2540">
        <row r="9">
          <cell r="A9" t="str">
            <v>A</v>
          </cell>
        </row>
      </sheetData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>
        <row r="9">
          <cell r="A9" t="str">
            <v>A</v>
          </cell>
        </row>
      </sheetData>
      <sheetData sheetId="2545">
        <row r="9">
          <cell r="A9" t="str">
            <v>A</v>
          </cell>
        </row>
      </sheetData>
      <sheetData sheetId="2546">
        <row r="9">
          <cell r="A9" t="str">
            <v>A</v>
          </cell>
        </row>
      </sheetData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>
        <row r="9">
          <cell r="A9" t="str">
            <v>A</v>
          </cell>
        </row>
      </sheetData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 refreshError="1"/>
      <sheetData sheetId="2578" refreshError="1"/>
      <sheetData sheetId="2579" refreshError="1"/>
      <sheetData sheetId="2580" refreshError="1"/>
      <sheetData sheetId="2581"/>
      <sheetData sheetId="2582"/>
      <sheetData sheetId="2583"/>
      <sheetData sheetId="2584"/>
      <sheetData sheetId="2585" refreshError="1"/>
      <sheetData sheetId="2586" refreshError="1"/>
      <sheetData sheetId="2587" refreshError="1"/>
      <sheetData sheetId="2588" refreshError="1"/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>
        <row r="9">
          <cell r="A9" t="str">
            <v>A</v>
          </cell>
        </row>
      </sheetData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>
        <row r="9">
          <cell r="A9" t="str">
            <v>A</v>
          </cell>
        </row>
      </sheetData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/>
      <sheetData sheetId="3281"/>
      <sheetData sheetId="3282"/>
      <sheetData sheetId="3283"/>
      <sheetData sheetId="3284"/>
      <sheetData sheetId="3285"/>
      <sheetData sheetId="3286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/>
      <sheetData sheetId="3345">
        <row r="9">
          <cell r="A9" t="str">
            <v>A</v>
          </cell>
        </row>
      </sheetData>
      <sheetData sheetId="3346"/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>
        <row r="9">
          <cell r="A9" t="str">
            <v>A</v>
          </cell>
        </row>
      </sheetData>
      <sheetData sheetId="3407">
        <row r="9">
          <cell r="A9" t="str">
            <v>A</v>
          </cell>
        </row>
      </sheetData>
      <sheetData sheetId="3408">
        <row r="9">
          <cell r="A9" t="str">
            <v>A</v>
          </cell>
        </row>
      </sheetData>
      <sheetData sheetId="3409">
        <row r="9">
          <cell r="A9" t="str">
            <v>A</v>
          </cell>
        </row>
      </sheetData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/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>
        <row r="9">
          <cell r="A9" t="str">
            <v>A</v>
          </cell>
        </row>
      </sheetData>
      <sheetData sheetId="3545">
        <row r="9">
          <cell r="A9" t="str">
            <v>A</v>
          </cell>
        </row>
      </sheetData>
      <sheetData sheetId="3546">
        <row r="9">
          <cell r="A9" t="str">
            <v>A</v>
          </cell>
        </row>
      </sheetData>
      <sheetData sheetId="3547">
        <row r="9">
          <cell r="A9" t="str">
            <v>A</v>
          </cell>
        </row>
      </sheetData>
      <sheetData sheetId="3548">
        <row r="9">
          <cell r="A9" t="str">
            <v>A</v>
          </cell>
        </row>
      </sheetData>
      <sheetData sheetId="3549">
        <row r="9">
          <cell r="A9" t="str">
            <v>A</v>
          </cell>
        </row>
      </sheetData>
      <sheetData sheetId="3550">
        <row r="9">
          <cell r="A9" t="str">
            <v>A</v>
          </cell>
        </row>
      </sheetData>
      <sheetData sheetId="3551">
        <row r="9">
          <cell r="A9" t="str">
            <v>A</v>
          </cell>
        </row>
      </sheetData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>
        <row r="9">
          <cell r="A9" t="str">
            <v>A</v>
          </cell>
        </row>
      </sheetData>
      <sheetData sheetId="3850">
        <row r="9">
          <cell r="A9" t="str">
            <v>A</v>
          </cell>
        </row>
      </sheetData>
      <sheetData sheetId="3851">
        <row r="9">
          <cell r="A9" t="str">
            <v>A</v>
          </cell>
        </row>
      </sheetData>
      <sheetData sheetId="3852">
        <row r="9">
          <cell r="A9" t="str">
            <v>A</v>
          </cell>
        </row>
      </sheetData>
      <sheetData sheetId="3853">
        <row r="9">
          <cell r="A9" t="str">
            <v>A</v>
          </cell>
        </row>
      </sheetData>
      <sheetData sheetId="3854">
        <row r="9">
          <cell r="A9" t="str">
            <v>A</v>
          </cell>
        </row>
      </sheetData>
      <sheetData sheetId="3855">
        <row r="9">
          <cell r="A9" t="str">
            <v>A</v>
          </cell>
        </row>
      </sheetData>
      <sheetData sheetId="3856">
        <row r="9">
          <cell r="A9" t="str">
            <v>A</v>
          </cell>
        </row>
      </sheetData>
      <sheetData sheetId="3857">
        <row r="9">
          <cell r="A9" t="str">
            <v>A</v>
          </cell>
        </row>
      </sheetData>
      <sheetData sheetId="3858">
        <row r="9">
          <cell r="A9" t="str">
            <v>A</v>
          </cell>
        </row>
      </sheetData>
      <sheetData sheetId="3859">
        <row r="9">
          <cell r="A9" t="str">
            <v>A</v>
          </cell>
        </row>
      </sheetData>
      <sheetData sheetId="3860">
        <row r="9">
          <cell r="A9" t="str">
            <v>A</v>
          </cell>
        </row>
      </sheetData>
      <sheetData sheetId="3861">
        <row r="9">
          <cell r="A9" t="str">
            <v>A</v>
          </cell>
        </row>
      </sheetData>
      <sheetData sheetId="3862">
        <row r="9">
          <cell r="A9" t="str">
            <v>A</v>
          </cell>
        </row>
      </sheetData>
      <sheetData sheetId="3863">
        <row r="9">
          <cell r="A9" t="str">
            <v>A</v>
          </cell>
        </row>
      </sheetData>
      <sheetData sheetId="3864">
        <row r="9">
          <cell r="A9" t="str">
            <v>A</v>
          </cell>
        </row>
      </sheetData>
      <sheetData sheetId="3865">
        <row r="9">
          <cell r="A9" t="str">
            <v>A</v>
          </cell>
        </row>
      </sheetData>
      <sheetData sheetId="3866">
        <row r="9">
          <cell r="A9" t="str">
            <v>A</v>
          </cell>
        </row>
      </sheetData>
      <sheetData sheetId="3867">
        <row r="9">
          <cell r="A9" t="str">
            <v>A</v>
          </cell>
        </row>
      </sheetData>
      <sheetData sheetId="3868">
        <row r="9">
          <cell r="A9" t="str">
            <v>A</v>
          </cell>
        </row>
      </sheetData>
      <sheetData sheetId="3869">
        <row r="9">
          <cell r="A9" t="str">
            <v>A</v>
          </cell>
        </row>
      </sheetData>
      <sheetData sheetId="3870">
        <row r="9">
          <cell r="A9" t="str">
            <v>A</v>
          </cell>
        </row>
      </sheetData>
      <sheetData sheetId="3871">
        <row r="9">
          <cell r="A9" t="str">
            <v>A</v>
          </cell>
        </row>
      </sheetData>
      <sheetData sheetId="3872">
        <row r="9">
          <cell r="A9" t="str">
            <v>A</v>
          </cell>
        </row>
      </sheetData>
      <sheetData sheetId="3873">
        <row r="9">
          <cell r="A9" t="str">
            <v>A</v>
          </cell>
        </row>
      </sheetData>
      <sheetData sheetId="3874">
        <row r="9">
          <cell r="A9" t="str">
            <v>A</v>
          </cell>
        </row>
      </sheetData>
      <sheetData sheetId="3875">
        <row r="9">
          <cell r="A9" t="str">
            <v>A</v>
          </cell>
        </row>
      </sheetData>
      <sheetData sheetId="3876">
        <row r="9">
          <cell r="A9" t="str">
            <v>A</v>
          </cell>
        </row>
      </sheetData>
      <sheetData sheetId="3877">
        <row r="9">
          <cell r="A9" t="str">
            <v>A</v>
          </cell>
        </row>
      </sheetData>
      <sheetData sheetId="3878">
        <row r="9">
          <cell r="A9" t="str">
            <v>A</v>
          </cell>
        </row>
      </sheetData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/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>
        <row r="9">
          <cell r="A9" t="str">
            <v>A</v>
          </cell>
        </row>
      </sheetData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/>
      <sheetData sheetId="3915">
        <row r="9">
          <cell r="A9" t="str">
            <v>A</v>
          </cell>
        </row>
      </sheetData>
      <sheetData sheetId="3916"/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/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/>
      <sheetData sheetId="3925"/>
      <sheetData sheetId="3926"/>
      <sheetData sheetId="3927"/>
      <sheetData sheetId="3928"/>
      <sheetData sheetId="3929"/>
      <sheetData sheetId="3930"/>
      <sheetData sheetId="3931">
        <row r="9">
          <cell r="A9" t="str">
            <v>A</v>
          </cell>
        </row>
      </sheetData>
      <sheetData sheetId="3932"/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>
        <row r="9">
          <cell r="A9" t="str">
            <v>A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>
        <row r="9">
          <cell r="A9" t="str">
            <v>A</v>
          </cell>
        </row>
      </sheetData>
      <sheetData sheetId="4178"/>
      <sheetData sheetId="4179">
        <row r="9">
          <cell r="A9" t="str">
            <v>A</v>
          </cell>
        </row>
      </sheetData>
      <sheetData sheetId="4180">
        <row r="9">
          <cell r="A9" t="str">
            <v>A</v>
          </cell>
        </row>
      </sheetData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>
        <row r="9">
          <cell r="A9" t="str">
            <v>A</v>
          </cell>
        </row>
      </sheetData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>
        <row r="9">
          <cell r="A9" t="str">
            <v>A</v>
          </cell>
        </row>
      </sheetData>
      <sheetData sheetId="4230">
        <row r="9">
          <cell r="A9" t="str">
            <v>A</v>
          </cell>
        </row>
      </sheetData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>
        <row r="9">
          <cell r="A9" t="str">
            <v>A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9">
          <cell r="A9" t="str">
            <v>A</v>
          </cell>
        </row>
      </sheetData>
      <sheetData sheetId="4264">
        <row r="9">
          <cell r="A9" t="str">
            <v>A</v>
          </cell>
        </row>
      </sheetData>
      <sheetData sheetId="4265">
        <row r="9">
          <cell r="A9" t="str">
            <v>A</v>
          </cell>
        </row>
      </sheetData>
      <sheetData sheetId="4266"/>
      <sheetData sheetId="4267"/>
      <sheetData sheetId="4268"/>
      <sheetData sheetId="4269"/>
      <sheetData sheetId="4270"/>
      <sheetData sheetId="4271"/>
      <sheetData sheetId="4272"/>
      <sheetData sheetId="4273">
        <row r="9">
          <cell r="A9" t="str">
            <v>A</v>
          </cell>
        </row>
      </sheetData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>
        <row r="9">
          <cell r="A9" t="str">
            <v>A</v>
          </cell>
        </row>
      </sheetData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>
        <row r="9">
          <cell r="A9" t="str">
            <v>A</v>
          </cell>
        </row>
      </sheetData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/>
      <sheetData sheetId="4395"/>
      <sheetData sheetId="4396"/>
      <sheetData sheetId="4397">
        <row r="9">
          <cell r="A9" t="str">
            <v>A</v>
          </cell>
        </row>
      </sheetData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>
        <row r="9">
          <cell r="A9" t="str">
            <v>A</v>
          </cell>
        </row>
      </sheetData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>
        <row r="9">
          <cell r="A9" t="str">
            <v>A</v>
          </cell>
        </row>
      </sheetData>
      <sheetData sheetId="4784"/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>
        <row r="9">
          <cell r="A9" t="str">
            <v>A</v>
          </cell>
        </row>
      </sheetData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/>
      <sheetData sheetId="4873"/>
      <sheetData sheetId="4874"/>
      <sheetData sheetId="4875"/>
      <sheetData sheetId="4876"/>
      <sheetData sheetId="4877"/>
      <sheetData sheetId="4878"/>
      <sheetData sheetId="4879">
        <row r="9">
          <cell r="A9" t="str">
            <v>A</v>
          </cell>
        </row>
      </sheetData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>
        <row r="9">
          <cell r="A9" t="str">
            <v>A</v>
          </cell>
        </row>
      </sheetData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>
        <row r="9">
          <cell r="A9" t="str">
            <v>A</v>
          </cell>
        </row>
      </sheetData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/>
      <sheetData sheetId="5001"/>
      <sheetData sheetId="5002"/>
      <sheetData sheetId="5003">
        <row r="9">
          <cell r="A9" t="str">
            <v>A</v>
          </cell>
        </row>
      </sheetData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>
        <row r="9">
          <cell r="A9" t="str">
            <v>A</v>
          </cell>
        </row>
      </sheetData>
      <sheetData sheetId="5390"/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>
        <row r="9">
          <cell r="A9" t="str">
            <v>A</v>
          </cell>
        </row>
      </sheetData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/>
      <sheetData sheetId="5479"/>
      <sheetData sheetId="5480"/>
      <sheetData sheetId="5481"/>
      <sheetData sheetId="5482"/>
      <sheetData sheetId="5483"/>
      <sheetData sheetId="5484"/>
      <sheetData sheetId="5485">
        <row r="9">
          <cell r="A9" t="str">
            <v>A</v>
          </cell>
        </row>
      </sheetData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>
        <row r="9">
          <cell r="A9" t="str">
            <v>A</v>
          </cell>
        </row>
      </sheetData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>
        <row r="9">
          <cell r="A9" t="str">
            <v>A</v>
          </cell>
        </row>
      </sheetData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/>
      <sheetData sheetId="5607"/>
      <sheetData sheetId="5608"/>
      <sheetData sheetId="5609">
        <row r="9">
          <cell r="A9" t="str">
            <v>A</v>
          </cell>
        </row>
      </sheetData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>
        <row r="9">
          <cell r="A9" t="str">
            <v>A</v>
          </cell>
        </row>
      </sheetData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>
        <row r="9">
          <cell r="A9" t="str">
            <v>A</v>
          </cell>
        </row>
      </sheetData>
      <sheetData sheetId="5984"/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>
        <row r="9">
          <cell r="A9" t="str">
            <v>A</v>
          </cell>
        </row>
      </sheetData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9">
          <cell r="A9" t="str">
            <v>A</v>
          </cell>
        </row>
      </sheetData>
      <sheetData sheetId="6098">
        <row r="9">
          <cell r="A9" t="str">
            <v>A</v>
          </cell>
        </row>
      </sheetData>
      <sheetData sheetId="6099"/>
      <sheetData sheetId="6100"/>
      <sheetData sheetId="6101">
        <row r="9">
          <cell r="A9" t="str">
            <v>A</v>
          </cell>
        </row>
      </sheetData>
      <sheetData sheetId="6102">
        <row r="9">
          <cell r="A9" t="str">
            <v>A</v>
          </cell>
        </row>
      </sheetData>
      <sheetData sheetId="6103"/>
      <sheetData sheetId="6104"/>
      <sheetData sheetId="6105"/>
      <sheetData sheetId="6106"/>
      <sheetData sheetId="6107"/>
      <sheetData sheetId="6108"/>
      <sheetData sheetId="6109">
        <row r="9">
          <cell r="A9" t="str">
            <v>A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9">
          <cell r="A9" t="str">
            <v>A</v>
          </cell>
        </row>
      </sheetData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>
        <row r="9">
          <cell r="A9" t="str">
            <v>A</v>
          </cell>
        </row>
      </sheetData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>
        <row r="9">
          <cell r="A9" t="str">
            <v>A</v>
          </cell>
        </row>
      </sheetData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>
        <row r="9">
          <cell r="A9" t="str">
            <v>A</v>
          </cell>
        </row>
      </sheetData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>
        <row r="9">
          <cell r="A9" t="str">
            <v>A</v>
          </cell>
        </row>
      </sheetData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>
        <row r="9">
          <cell r="A9" t="str">
            <v>A</v>
          </cell>
        </row>
      </sheetData>
      <sheetData sheetId="6321"/>
      <sheetData sheetId="6322"/>
      <sheetData sheetId="6323"/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>
        <row r="9">
          <cell r="A9" t="str">
            <v>A</v>
          </cell>
        </row>
      </sheetData>
      <sheetData sheetId="6642"/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>
        <row r="9">
          <cell r="A9" t="str">
            <v>A</v>
          </cell>
        </row>
      </sheetData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/>
      <sheetData sheetId="6731"/>
      <sheetData sheetId="6732"/>
      <sheetData sheetId="6733"/>
      <sheetData sheetId="6734"/>
      <sheetData sheetId="6735"/>
      <sheetData sheetId="6736"/>
      <sheetData sheetId="6737">
        <row r="9">
          <cell r="A9" t="str">
            <v>A</v>
          </cell>
        </row>
      </sheetData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>
        <row r="9">
          <cell r="A9" t="str">
            <v>A</v>
          </cell>
        </row>
      </sheetData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>
        <row r="9">
          <cell r="A9" t="str">
            <v>A</v>
          </cell>
        </row>
      </sheetData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>
        <row r="9">
          <cell r="A9" t="str">
            <v>A</v>
          </cell>
        </row>
      </sheetData>
      <sheetData sheetId="6845">
        <row r="9">
          <cell r="A9" t="str">
            <v>A</v>
          </cell>
        </row>
      </sheetData>
      <sheetData sheetId="6846">
        <row r="9">
          <cell r="A9" t="str">
            <v>A</v>
          </cell>
        </row>
      </sheetData>
      <sheetData sheetId="6847">
        <row r="9">
          <cell r="A9" t="str">
            <v>A</v>
          </cell>
        </row>
      </sheetData>
      <sheetData sheetId="6848">
        <row r="9">
          <cell r="A9" t="str">
            <v>A</v>
          </cell>
        </row>
      </sheetData>
      <sheetData sheetId="6849">
        <row r="9">
          <cell r="A9" t="str">
            <v>A</v>
          </cell>
        </row>
      </sheetData>
      <sheetData sheetId="6850">
        <row r="9">
          <cell r="A9" t="str">
            <v>A</v>
          </cell>
        </row>
      </sheetData>
      <sheetData sheetId="6851">
        <row r="9">
          <cell r="A9" t="str">
            <v>A</v>
          </cell>
        </row>
      </sheetData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/>
      <sheetData sheetId="6859"/>
      <sheetData sheetId="6860"/>
      <sheetData sheetId="6861">
        <row r="9">
          <cell r="A9" t="str">
            <v>A</v>
          </cell>
        </row>
      </sheetData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>
        <row r="9">
          <cell r="A9" t="str">
            <v>A</v>
          </cell>
        </row>
      </sheetData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>
        <row r="9">
          <cell r="A9" t="str">
            <v>A</v>
          </cell>
        </row>
      </sheetData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>
        <row r="9">
          <cell r="A9" t="str">
            <v>A</v>
          </cell>
        </row>
      </sheetData>
      <sheetData sheetId="7209"/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>
        <row r="9">
          <cell r="A9" t="str">
            <v>A</v>
          </cell>
        </row>
      </sheetData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/>
      <sheetData sheetId="7325"/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/>
      <sheetData sheetId="7329"/>
      <sheetData sheetId="7330"/>
      <sheetData sheetId="7331"/>
      <sheetData sheetId="7332"/>
      <sheetData sheetId="7333"/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>
        <row r="9">
          <cell r="A9" t="str">
            <v>A</v>
          </cell>
        </row>
      </sheetData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>
        <row r="9">
          <cell r="A9" t="str">
            <v>A</v>
          </cell>
        </row>
      </sheetData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>
        <row r="9">
          <cell r="A9" t="str">
            <v>A</v>
          </cell>
        </row>
      </sheetData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>
        <row r="9">
          <cell r="A9" t="str">
            <v>A</v>
          </cell>
        </row>
      </sheetData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/>
      <sheetData sheetId="7475"/>
      <sheetData sheetId="7476"/>
      <sheetData sheetId="7477"/>
      <sheetData sheetId="7478">
        <row r="9">
          <cell r="A9" t="str">
            <v>A</v>
          </cell>
        </row>
      </sheetData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>
        <row r="9">
          <cell r="A9" t="str">
            <v>A</v>
          </cell>
        </row>
      </sheetData>
      <sheetData sheetId="7546"/>
      <sheetData sheetId="7547"/>
      <sheetData sheetId="7548"/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>
        <row r="9">
          <cell r="A9" t="str">
            <v>A</v>
          </cell>
        </row>
      </sheetData>
      <sheetData sheetId="7624">
        <row r="9">
          <cell r="A9" t="str">
            <v>A</v>
          </cell>
        </row>
      </sheetData>
      <sheetData sheetId="7625">
        <row r="9">
          <cell r="A9" t="str">
            <v>A</v>
          </cell>
        </row>
      </sheetData>
      <sheetData sheetId="7626">
        <row r="9">
          <cell r="A9" t="str">
            <v>A</v>
          </cell>
        </row>
      </sheetData>
      <sheetData sheetId="7627">
        <row r="9">
          <cell r="A9" t="str">
            <v>A</v>
          </cell>
        </row>
      </sheetData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 refreshError="1"/>
      <sheetData sheetId="7662" refreshError="1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>
        <row r="9">
          <cell r="A9" t="str">
            <v>A</v>
          </cell>
        </row>
      </sheetData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>
        <row r="9">
          <cell r="A9" t="str">
            <v>A</v>
          </cell>
        </row>
      </sheetData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/>
      <sheetData sheetId="8482"/>
      <sheetData sheetId="8483"/>
      <sheetData sheetId="8484"/>
      <sheetData sheetId="8485"/>
      <sheetData sheetId="8486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외상매입금"/>
      <sheetName val="관계외상매입"/>
      <sheetName val="지급어음"/>
      <sheetName val="단기차입금"/>
      <sheetName val="미지급금"/>
      <sheetName val="어음미지급"/>
      <sheetName val="선수금"/>
      <sheetName val="예수금"/>
      <sheetName val="미지급비용"/>
      <sheetName val="장기차입금"/>
      <sheetName val="금융리스"/>
      <sheetName val="충당금"/>
      <sheetName val="매출액"/>
      <sheetName val="제조원가"/>
      <sheetName val="용역원가"/>
      <sheetName val="감가상각비"/>
      <sheetName val="영업외수익"/>
      <sheetName val="영업외비용"/>
      <sheetName val="고정자산처분"/>
      <sheetName val="자본금"/>
      <sheetName val="부동산"/>
      <sheetName val="이사회결의서"/>
      <sheetName val="감사의견서"/>
      <sheetName val="주주명부&lt;끝&gt;"/>
      <sheetName val="lists"/>
      <sheetName val="Expa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5">
          <cell r="A5" t="str">
            <v>GENERAL ELECTRIC CO.</v>
          </cell>
        </row>
        <row r="7">
          <cell r="A7" t="str">
            <v>삼  성  전  자(주)</v>
          </cell>
        </row>
        <row r="8">
          <cell r="A8" t="str">
            <v>삼  성  전  기(주)</v>
          </cell>
        </row>
        <row r="9">
          <cell r="A9" t="str">
            <v>삼성 항공 산업(주)</v>
          </cell>
        </row>
        <row r="10">
          <cell r="A10" t="str">
            <v>이      건      희</v>
          </cell>
        </row>
        <row r="11">
          <cell r="A11" t="str">
            <v>이      동      복</v>
          </cell>
        </row>
        <row r="12">
          <cell r="A12" t="str">
            <v>정      재      은</v>
          </cell>
        </row>
        <row r="13">
          <cell r="A13" t="str">
            <v>남      정      우</v>
          </cell>
        </row>
      </sheetData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usted errors"/>
      <sheetName val="unadjusted errors"/>
      <sheetName val="FS after adjusted"/>
    </sheetNames>
    <sheetDataSet>
      <sheetData sheetId="0"/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운영방안"/>
      <sheetName val="승진시행안"/>
      <sheetName val="년도별승진인원"/>
      <sheetName val="그룹사 97년승진률"/>
      <sheetName val="년도별승진인원 (2)"/>
      <sheetName val="년도별승진인원 (3)"/>
      <sheetName val="TO운영안변경"/>
      <sheetName val="TO운영안변경 (2)"/>
      <sheetName val="그룹현황"/>
      <sheetName val="승진대상표지"/>
      <sheetName val="부대"/>
      <sheetName val="차장"/>
      <sheetName val="과장"/>
      <sheetName val="대리"/>
      <sheetName val="4사"/>
      <sheetName val="5사남"/>
      <sheetName val="VC2 8.98"/>
      <sheetName val="견"/>
      <sheetName val="차수"/>
      <sheetName val="울산시산표"/>
      <sheetName val="전체내역 (2)"/>
      <sheetName val="수입"/>
      <sheetName val="dia chi"/>
      <sheetName val="bai1-ke"/>
      <sheetName val="TOT"/>
      <sheetName val="List2"/>
      <sheetName val="List3"/>
      <sheetName val="노임단가"/>
      <sheetName val="단가조사"/>
      <sheetName val="도급견적가"/>
      <sheetName val="Total"/>
      <sheetName val="시험장S자로가로등공사"/>
      <sheetName val="N賃率-職"/>
      <sheetName val="내역"/>
      <sheetName val="단위중량"/>
      <sheetName val="COVER-P"/>
      <sheetName val="노임"/>
      <sheetName val="Code"/>
      <sheetName val="토공집계"/>
      <sheetName val="단가(1)"/>
      <sheetName val="2.대외공문"/>
      <sheetName val="업무분장"/>
      <sheetName val="단가산출서 (연암)"/>
      <sheetName val="승진대상"/>
      <sheetName val="계정"/>
      <sheetName val="예산계획"/>
      <sheetName val="내역서을지"/>
      <sheetName val="CTEMCOST"/>
      <sheetName val="020114"/>
      <sheetName val="PAINT"/>
      <sheetName val="월별수입"/>
      <sheetName val="전체"/>
      <sheetName val="#REF"/>
      <sheetName val="물량표"/>
      <sheetName val="국내총괄"/>
      <sheetName val="물량표(신)"/>
      <sheetName val="Gia vat tu"/>
      <sheetName val="MARCH 25"/>
      <sheetName val="명단"/>
      <sheetName val="STAND98"/>
      <sheetName val="N101-lead"/>
      <sheetName val="영업.일1"/>
      <sheetName val="고정자산"/>
      <sheetName val="매출원가추정"/>
      <sheetName val="매출추정"/>
      <sheetName val="전문품의"/>
      <sheetName val="일위대가(출입)"/>
      <sheetName val="설계"/>
      <sheetName val="VAT duoc khau tru"/>
      <sheetName val="건축내역서"/>
      <sheetName val="집계표"/>
      <sheetName val="설비내역서"/>
      <sheetName val="전기내역서"/>
      <sheetName val="WI"/>
      <sheetName val="BID"/>
      <sheetName val="태화42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Than toan nhiều lần"/>
      <sheetName val="Lot 15, 50-50"/>
      <sheetName val="dieuchinh"/>
      <sheetName val="dongia"/>
      <sheetName val="5649 Tong hop TSCD-GLV"/>
      <sheetName val="KLHT"/>
      <sheetName val="Gia vat tu"/>
      <sheetName val="CHITIET VL-NC-TT-3p"/>
      <sheetName val="VCV-BE-TONG"/>
      <sheetName val="giathanh1"/>
      <sheetName val="5649 Tong hop TSCD-GLV.xls"/>
      <sheetName val="KH-Q1,Q2,01"/>
      <sheetName val="DMThuyetminh"/>
      <sheetName val="G-Info"/>
      <sheetName val="Ballast"/>
      <sheetName val="Tong hop Starter"/>
      <sheetName val="DGD"/>
      <sheetName val="Bieu 3 final Tập đoàn Duyệt"/>
      <sheetName val="Bieu 3 Tập đoàn Duyệt"/>
      <sheetName val="Bieu 1 final"/>
      <sheetName val="Bieu 1"/>
      <sheetName val="Bieu so 2"/>
      <sheetName val="Bieu 3"/>
      <sheetName val="Bieu 3 (2)"/>
      <sheetName val="Bieu 3 final"/>
      <sheetName val="Bieu 4"/>
      <sheetName val="PTDGDT"/>
      <sheetName val="제조원가명세서"/>
      <sheetName val="매출원가합계표"/>
      <sheetName val="Tinh toan"/>
      <sheetName val="dtct cong"/>
      <sheetName val="DTCT"/>
      <sheetName val="TB"/>
      <sheetName val="Bảng CĐKT"/>
      <sheetName val="but_toan_DC"/>
      <sheetName val="tong_hop"/>
      <sheetName val="Test_chi_tiet"/>
      <sheetName val="chi_tiet_TS_theo_so_lieu_ktoan"/>
      <sheetName val="bang_tinh_KH_2005"/>
      <sheetName val="HM_phuc_loi"/>
      <sheetName val="tinh_lai_KH"/>
      <sheetName val="KH_bquan_cho_1_dvsp"/>
      <sheetName val="Kh_va_tien_luong_nam_2005"/>
      <sheetName val="ke_hoach_KH_nam_2005"/>
      <sheetName val="KH_2006"/>
      <sheetName val="KH_khau_hao_2007"/>
      <sheetName val="Than_toan_nhiều_lần"/>
      <sheetName val="CHITIET_VL-NC-TT-3p"/>
      <sheetName val="5649_Tong_hop_TSCD-GLV"/>
      <sheetName val="Lot_15,_50-50"/>
      <sheetName val="Gia_vat_tu"/>
      <sheetName val="5649_Tong_hop_TSCD-GLV_xls"/>
      <sheetName val="Luong"/>
      <sheetName val="TL rieng"/>
      <sheetName val="Final Rec."/>
      <sheetName val="Consol BS+PL-08"/>
      <sheetName val="Vat tu"/>
      <sheetName val="Sheet3"/>
      <sheetName val="Vendors 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p1"/>
      <sheetName val="MOEND"/>
      <sheetName val="EXECp2"/>
      <sheetName val="MENDp3"/>
      <sheetName val="DEC31p4"/>
      <sheetName val="DNGRDSp5"/>
      <sheetName val="MOVESp6"/>
      <sheetName val="AGEDp7"/>
      <sheetName val="TOP30p8"/>
      <sheetName val="topdngrdsp9"/>
      <sheetName val="upgradesp10"/>
      <sheetName val="PANDLp11"/>
      <sheetName val="CIBPLp12"/>
      <sheetName val="CFp13"/>
      <sheetName val="Costsp14"/>
      <sheetName val="PROVp15"/>
      <sheetName val="RELp16"/>
      <sheetName val="PROVRELp17"/>
      <sheetName val="CIBPRVRELp18"/>
      <sheetName val="IISp19"/>
      <sheetName val="Budget"/>
      <sheetName val="Gia vat tu"/>
      <sheetName val="compliance"/>
      <sheetName val="Headers"/>
      <sheetName val="WKBK_Variables"/>
      <sheetName val="Parms"/>
      <sheetName val="3.Product Summary"/>
      <sheetName val="SCI_Customer"/>
      <sheetName val="Parameters"/>
      <sheetName val="Header Info"/>
      <sheetName val="Menu"/>
    </sheetNames>
    <sheetDataSet>
      <sheetData sheetId="0" refreshError="1"/>
      <sheetData sheetId="1" refreshError="1"/>
      <sheetData sheetId="2" refreshError="1">
        <row r="41">
          <cell r="A41" t="str">
            <v>*SEE BREAKOUT BY COUNTRY AT PAGE 4 &amp; 6</v>
          </cell>
          <cell r="Q41" t="str">
            <v>Balances at time of downgrades.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운영방안"/>
      <sheetName val="승진시행안"/>
      <sheetName val="년도별승진인원"/>
      <sheetName val="그룹사 97년승진률"/>
      <sheetName val="년도별승진인원 (2)"/>
      <sheetName val="년도별승진인원 (3)"/>
      <sheetName val="TO운영안변경"/>
      <sheetName val="TO운영안변경 (2)"/>
      <sheetName val="그룹현황"/>
      <sheetName val="승진대상표지"/>
      <sheetName val="부대"/>
      <sheetName val="차장"/>
      <sheetName val="과장"/>
      <sheetName val="대리"/>
      <sheetName val="4사"/>
      <sheetName val="5사남"/>
      <sheetName val="수입"/>
      <sheetName val="H-PILE수량집계"/>
      <sheetName val="고정자산"/>
      <sheetName val="매출원가추정"/>
      <sheetName val="매출추정"/>
      <sheetName val="공문"/>
      <sheetName val="#REF"/>
      <sheetName val="승진대상"/>
      <sheetName val="노임이"/>
      <sheetName val="N101-lead"/>
      <sheetName val="노임단가"/>
      <sheetName val="단가조사"/>
      <sheetName val="도급견적가"/>
      <sheetName val="Total"/>
      <sheetName val="시험장S자로가로등공사"/>
      <sheetName val="N賃率-職"/>
      <sheetName val="내역"/>
      <sheetName val="단위중량"/>
      <sheetName val="COVER-P"/>
      <sheetName val="노임"/>
      <sheetName val="Code"/>
      <sheetName val="토공집계"/>
      <sheetName val="단가(1)"/>
      <sheetName val="영업.일1"/>
      <sheetName val="차수"/>
      <sheetName val="울산시산표"/>
      <sheetName val="전체내역 (2)"/>
      <sheetName val="2.대외공문"/>
      <sheetName val="업무분장"/>
      <sheetName val="단가산출서 (연암)"/>
      <sheetName val="dia chi"/>
      <sheetName val="bai1-ke"/>
      <sheetName val="TOT"/>
      <sheetName val="월별수입"/>
      <sheetName val="전문품의"/>
      <sheetName val="List2"/>
      <sheetName val="List3"/>
      <sheetName val="계정"/>
      <sheetName val="예산계획"/>
      <sheetName val="일위대가(출입)"/>
      <sheetName val="설계"/>
      <sheetName val="소상 &quot;1&quot;"/>
      <sheetName val="회사99"/>
      <sheetName val="인원01"/>
      <sheetName val="PAINT"/>
      <sheetName val="SUMMARY"/>
      <sheetName val="물량표"/>
      <sheetName val="가정"/>
      <sheetName val="Sheet2"/>
      <sheetName val="해외"/>
      <sheetName val="프랜트면허"/>
      <sheetName val="토목주소"/>
      <sheetName val="CTEMCOST"/>
      <sheetName val="내역대비표(코크스)"/>
      <sheetName val="BEND LOSS"/>
      <sheetName val="우수받이"/>
      <sheetName val="현장관리비"/>
      <sheetName val="부재리스트"/>
      <sheetName val="토목"/>
      <sheetName val="자체실적1Q"/>
      <sheetName val="내역서을지"/>
      <sheetName val="020114"/>
      <sheetName val="전체"/>
      <sheetName val="국내총괄"/>
      <sheetName val="물량표(신)"/>
      <sheetName val="Gia vat tu"/>
      <sheetName val="MARCH 25"/>
      <sheetName val="명단"/>
      <sheetName val="STAND98"/>
      <sheetName val="VAT duoc khau tru"/>
      <sheetName val="JUCKEYK"/>
      <sheetName val="1차 내역서"/>
      <sheetName val="견적서"/>
      <sheetName val="그룹사_97년승진률"/>
      <sheetName val="년도별승진인원_(2)"/>
      <sheetName val="년도별승진인원_(3)"/>
      <sheetName val="TO운영안변경_(2)"/>
      <sheetName val="을"/>
      <sheetName val="입찰안"/>
      <sheetName val="설계내역서"/>
      <sheetName val="Hyundai.Unit.cost.xls"/>
      <sheetName val="항목(1)"/>
      <sheetName val="수리결과"/>
      <sheetName val="지급자재"/>
      <sheetName val="개요"/>
      <sheetName val="대비"/>
      <sheetName val="토공사(흙막이)"/>
      <sheetName val="집계표"/>
      <sheetName val="소각장스케줄"/>
      <sheetName val="남양구조시험동"/>
      <sheetName val="R&amp;D"/>
      <sheetName val="DATA"/>
      <sheetName val="조명시설"/>
      <sheetName val="견"/>
      <sheetName val="ABUT수량-A1"/>
      <sheetName val="공통가설"/>
      <sheetName val="설계예시"/>
      <sheetName val="Sheet3"/>
      <sheetName val="건축공사 집계표"/>
      <sheetName val="골조"/>
      <sheetName val="건축내역서"/>
      <sheetName val="설비내역서"/>
      <sheetName val="전기내역서"/>
      <sheetName val="WI"/>
      <sheetName val="내역서"/>
      <sheetName val="Sheet1"/>
      <sheetName val="현장관리비세부내역 "/>
      <sheetName val="구조물공1"/>
      <sheetName val="배수및구조물공1"/>
      <sheetName val="CAL."/>
      <sheetName val="기준"/>
      <sheetName val="단중표"/>
      <sheetName val="대공종"/>
      <sheetName val="수배전반"/>
      <sheetName val="고자현황"/>
      <sheetName val="공사손익"/>
      <sheetName val="세부추진"/>
      <sheetName val="상용보강"/>
      <sheetName val="영지실적"/>
      <sheetName val="RE9604"/>
      <sheetName val="기계"/>
      <sheetName val="일위(설)"/>
      <sheetName val="매출현황"/>
      <sheetName val="등록자료"/>
      <sheetName val="입력정보"/>
      <sheetName val="대목"/>
      <sheetName val="인사자료총집계"/>
      <sheetName val="플랜트 설치"/>
      <sheetName val="원가계산서"/>
      <sheetName val="골조시행"/>
      <sheetName val="파이프류"/>
      <sheetName val="돈암사업"/>
      <sheetName val="전선 및 전선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운영방안"/>
      <sheetName val="승진시행안"/>
      <sheetName val="년도별승진인원"/>
      <sheetName val="그룹사 97년승진률"/>
      <sheetName val="년도별승진인원 (2)"/>
      <sheetName val="년도별승진인원 (3)"/>
      <sheetName val="TO운영안변경"/>
      <sheetName val="TO운영안변경 (2)"/>
      <sheetName val="그룹현황"/>
      <sheetName val="승진대상표지"/>
      <sheetName val="부대"/>
      <sheetName val="차장"/>
      <sheetName val="과장"/>
      <sheetName val="대리"/>
      <sheetName val="4사"/>
      <sheetName val="5사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양식"/>
      <sheetName val="본사공가현황"/>
      <sheetName val="#RE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ỔNG HỢP KHKD 2025"/>
      <sheetName val="CCDC"/>
      <sheetName val="Sheet1"/>
      <sheetName val="CPQLDN."/>
      <sheetName val="BKCT 2025"/>
      <sheetName val="CHI TIẾT KHKD 2025"/>
      <sheetName val="VP OCH"/>
      <sheetName val="Điều chỉnh lương so với V5"/>
      <sheetName val="Thương mại tổng"/>
      <sheetName val="BKCT 2024"/>
      <sheetName val="Sheet5"/>
      <sheetName val="Bộ mã để check"/>
      <sheetName val="Lãi cho vay nội bộ"/>
      <sheetName val="KH BĐ các phòng ban"/>
      <sheetName val="Sheet3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V4" t="e">
            <v>#REF!</v>
          </cell>
        </row>
        <row r="109">
          <cell r="AB109">
            <v>1487074320.2592592</v>
          </cell>
          <cell r="AC109">
            <v>1493627178.2592592</v>
          </cell>
          <cell r="AD109">
            <v>1774851423.2592592</v>
          </cell>
          <cell r="AE109">
            <v>1474173362.7777777</v>
          </cell>
          <cell r="AF109">
            <v>1526468249.6666667</v>
          </cell>
          <cell r="AG109">
            <v>2308699187.9865322</v>
          </cell>
          <cell r="AH109">
            <v>1341447704.0370369</v>
          </cell>
          <cell r="AI109">
            <v>1311222087.2592592</v>
          </cell>
          <cell r="AJ109">
            <v>1865664605.7777777</v>
          </cell>
          <cell r="AK109">
            <v>1421622087.2592592</v>
          </cell>
          <cell r="AL109">
            <v>1431881343.5185184</v>
          </cell>
          <cell r="AM109">
            <v>2755207706.666667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DB138"/>
  <sheetViews>
    <sheetView zoomScale="70" zoomScaleNormal="70" zoomScaleSheetLayoutView="102" workbookViewId="0">
      <pane xSplit="3" ySplit="7" topLeftCell="D8" activePane="bottomRight" state="frozen"/>
      <selection activeCell="H14" sqref="H14"/>
      <selection pane="topRight" activeCell="H14" sqref="H14"/>
      <selection pane="bottomLeft" activeCell="H14" sqref="H14"/>
      <selection pane="bottomRight" activeCell="AP119" sqref="AP119"/>
    </sheetView>
  </sheetViews>
  <sheetFormatPr defaultColWidth="8.81640625" defaultRowHeight="14" outlineLevelRow="2" outlineLevelCol="3"/>
  <cols>
    <col min="1" max="1" width="11" style="137" customWidth="1"/>
    <col min="2" max="2" width="10" style="137" customWidth="1"/>
    <col min="3" max="3" width="75.453125" style="135" bestFit="1" customWidth="1"/>
    <col min="4" max="4" width="18.54296875" style="136" bestFit="1" customWidth="1" collapsed="1"/>
    <col min="5" max="5" width="17.81640625" style="137" hidden="1" customWidth="1" outlineLevel="1"/>
    <col min="6" max="6" width="16.453125" style="137" hidden="1" customWidth="1" outlineLevel="3"/>
    <col min="7" max="7" width="17" style="137" hidden="1" customWidth="1" outlineLevel="3"/>
    <col min="8" max="8" width="18.453125" style="137" hidden="1" customWidth="1" outlineLevel="3"/>
    <col min="9" max="9" width="16.54296875" style="137" hidden="1" customWidth="1" outlineLevel="3"/>
    <col min="10" max="10" width="18.1796875" style="137" hidden="1" customWidth="1" outlineLevel="3"/>
    <col min="11" max="11" width="19" style="137" hidden="1" customWidth="1" outlineLevel="3"/>
    <col min="12" max="13" width="18.1796875" style="137" hidden="1" customWidth="1" outlineLevel="3"/>
    <col min="14" max="15" width="19.54296875" style="137" hidden="1" customWidth="1" outlineLevel="3"/>
    <col min="16" max="16" width="17.81640625" style="137" hidden="1" customWidth="1" outlineLevel="3"/>
    <col min="17" max="17" width="19.453125" style="137" hidden="1" customWidth="1" outlineLevel="3"/>
    <col min="18" max="18" width="19" style="137" hidden="1" customWidth="1" outlineLevel="1"/>
    <col min="19" max="19" width="19" style="137" hidden="1" customWidth="1" outlineLevel="2"/>
    <col min="20" max="21" width="19.54296875" style="137" hidden="1" customWidth="1" outlineLevel="2"/>
    <col min="22" max="22" width="18.1796875" style="137" bestFit="1" customWidth="1" collapsed="1"/>
    <col min="23" max="23" width="18.1796875" style="137" hidden="1" customWidth="1"/>
    <col min="24" max="24" width="16.81640625" style="137" hidden="1" customWidth="1" outlineLevel="2"/>
    <col min="25" max="25" width="16.54296875" style="137" hidden="1" customWidth="1" outlineLevel="2"/>
    <col min="26" max="26" width="17.81640625" style="137" hidden="1" customWidth="1" outlineLevel="2"/>
    <col min="27" max="28" width="16.81640625" style="137" hidden="1" customWidth="1" outlineLevel="2"/>
    <col min="29" max="29" width="17.81640625" style="137" hidden="1" customWidth="1" outlineLevel="2"/>
    <col min="30" max="31" width="16.81640625" style="137" hidden="1" customWidth="1" outlineLevel="2"/>
    <col min="32" max="32" width="18.7265625" style="137" hidden="1" customWidth="1" outlineLevel="2"/>
    <col min="33" max="33" width="16.81640625" style="137" hidden="1" customWidth="1" outlineLevel="2"/>
    <col min="34" max="34" width="16.54296875" style="137" hidden="1" customWidth="1" outlineLevel="2"/>
    <col min="35" max="35" width="16.81640625" style="137" hidden="1" customWidth="1" collapsed="1"/>
    <col min="36" max="36" width="9.54296875" style="137" hidden="1" customWidth="1"/>
    <col min="37" max="38" width="17.81640625" style="137" hidden="1" customWidth="1"/>
    <col min="39" max="39" width="18.7265625" style="137" hidden="1" customWidth="1"/>
    <col min="40" max="40" width="17.81640625" style="137" hidden="1" customWidth="1"/>
    <col min="41" max="41" width="11.453125" style="137" bestFit="1" customWidth="1"/>
    <col min="42" max="42" width="22.453125" style="137" bestFit="1" customWidth="1"/>
    <col min="43" max="43" width="17.453125" style="137" hidden="1" customWidth="1" outlineLevel="2"/>
    <col min="44" max="44" width="16.7265625" style="137" hidden="1" customWidth="1" outlineLevel="2"/>
    <col min="45" max="45" width="18.1796875" style="137" hidden="1" customWidth="1" outlineLevel="2"/>
    <col min="46" max="52" width="17.453125" style="137" hidden="1" customWidth="1" outlineLevel="2"/>
    <col min="53" max="53" width="17" style="137" hidden="1" customWidth="1" outlineLevel="2"/>
    <col min="54" max="54" width="18.54296875" style="137" hidden="1" customWidth="1" outlineLevel="2"/>
    <col min="55" max="55" width="19" style="137" hidden="1" customWidth="1" outlineLevel="2"/>
    <col min="56" max="56" width="18.1796875" style="137" hidden="1" customWidth="1" outlineLevel="2"/>
    <col min="57" max="57" width="18.54296875" style="137" hidden="1" customWidth="1" outlineLevel="2"/>
    <col min="58" max="58" width="17.453125" style="137" hidden="1" customWidth="1" outlineLevel="2"/>
    <col min="59" max="59" width="22" style="137" bestFit="1" customWidth="1" collapsed="1"/>
    <col min="60" max="60" width="22.08984375" style="137" bestFit="1" customWidth="1" outlineLevel="2"/>
    <col min="61" max="61" width="19.6328125" style="137" bestFit="1" customWidth="1" outlineLevel="2"/>
    <col min="62" max="62" width="21" style="137" bestFit="1" customWidth="1" outlineLevel="2"/>
    <col min="63" max="66" width="20.453125" style="137" bestFit="1" customWidth="1" outlineLevel="2"/>
    <col min="67" max="68" width="21" style="137" bestFit="1" customWidth="1" outlineLevel="2"/>
    <col min="69" max="69" width="22" style="137" bestFit="1" customWidth="1" outlineLevel="2"/>
    <col min="70" max="70" width="20.08984375" style="137" bestFit="1" customWidth="1" outlineLevel="2"/>
    <col min="71" max="71" width="21" style="137" bestFit="1" customWidth="1" outlineLevel="2"/>
    <col min="72" max="73" width="19.08984375" style="137" bestFit="1" customWidth="1" outlineLevel="2"/>
    <col min="74" max="74" width="20.36328125" style="137" bestFit="1" customWidth="1" outlineLevel="2"/>
    <col min="75" max="75" width="21.54296875" style="137" bestFit="1" customWidth="1" outlineLevel="2"/>
    <col min="76" max="76" width="21.6328125" style="259" bestFit="1" customWidth="1" outlineLevel="1"/>
    <col min="77" max="77" width="26.54296875" style="137" bestFit="1" customWidth="1" outlineLevel="1"/>
    <col min="78" max="85" width="12.54296875" style="137" bestFit="1" customWidth="1" outlineLevel="1"/>
    <col min="86" max="86" width="12.1796875" style="137" bestFit="1" customWidth="1" outlineLevel="1"/>
    <col min="87" max="87" width="11.54296875" style="137" bestFit="1" customWidth="1" outlineLevel="1"/>
    <col min="88" max="88" width="12.1796875" style="137" bestFit="1" customWidth="1" outlineLevel="1"/>
    <col min="89" max="89" width="24.54296875" style="137" bestFit="1" customWidth="1" outlineLevel="1"/>
    <col min="90" max="92" width="9.26953125" style="137" bestFit="1" customWidth="1" outlineLevel="1"/>
    <col min="93" max="93" width="25.54296875" style="137" bestFit="1" customWidth="1"/>
    <col min="94" max="94" width="8.81640625" style="137"/>
    <col min="95" max="95" width="14.81640625" style="137" bestFit="1" customWidth="1"/>
    <col min="96" max="97" width="8.81640625" style="137"/>
    <col min="98" max="98" width="11" style="137" bestFit="1" customWidth="1"/>
    <col min="99" max="104" width="8.81640625" style="137"/>
    <col min="105" max="105" width="9.81640625" style="137" bestFit="1" customWidth="1"/>
    <col min="106" max="16384" width="8.81640625" style="137"/>
  </cols>
  <sheetData>
    <row r="1" spans="1:106">
      <c r="A1" s="134" t="s">
        <v>137</v>
      </c>
      <c r="B1" s="134"/>
    </row>
    <row r="2" spans="1:106" ht="6" customHeight="1">
      <c r="A2" s="138"/>
      <c r="B2" s="138"/>
    </row>
    <row r="3" spans="1:106" ht="17.5">
      <c r="A3" s="139" t="s">
        <v>486</v>
      </c>
      <c r="B3" s="139"/>
      <c r="C3" s="139"/>
      <c r="D3" s="140"/>
      <c r="E3" s="140"/>
      <c r="F3" s="140">
        <f>F111+F112-F113-F118</f>
        <v>0</v>
      </c>
      <c r="G3" s="140">
        <f>G111+G112-G113-G118</f>
        <v>0</v>
      </c>
      <c r="H3" s="140">
        <f>H111+H112-H113-H118</f>
        <v>0</v>
      </c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</row>
    <row r="4" spans="1:106" ht="12.75" customHeight="1">
      <c r="A4" s="139"/>
      <c r="B4" s="139"/>
      <c r="C4" s="139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</row>
    <row r="5" spans="1:106">
      <c r="E5" s="141">
        <v>4</v>
      </c>
    </row>
    <row r="6" spans="1:106" s="144" customFormat="1" ht="36" customHeight="1">
      <c r="A6" s="142" t="s">
        <v>138</v>
      </c>
      <c r="B6" s="143"/>
      <c r="C6" s="332" t="s">
        <v>139</v>
      </c>
      <c r="D6" s="334" t="s">
        <v>140</v>
      </c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5"/>
      <c r="S6" s="335"/>
      <c r="T6" s="335"/>
      <c r="U6" s="336"/>
      <c r="V6" s="337" t="s">
        <v>141</v>
      </c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9"/>
      <c r="AO6" s="340" t="s">
        <v>142</v>
      </c>
      <c r="AP6" s="342" t="s">
        <v>143</v>
      </c>
      <c r="AQ6" s="343"/>
      <c r="AR6" s="343"/>
      <c r="AS6" s="343"/>
      <c r="AT6" s="343"/>
      <c r="AU6" s="343"/>
      <c r="AV6" s="343"/>
      <c r="AW6" s="343"/>
      <c r="AX6" s="343"/>
      <c r="AY6" s="343"/>
      <c r="AZ6" s="343"/>
      <c r="BA6" s="343"/>
      <c r="BB6" s="343"/>
      <c r="BC6" s="343"/>
      <c r="BD6" s="343"/>
      <c r="BE6" s="343"/>
      <c r="BF6" s="344"/>
      <c r="BG6" s="331" t="s">
        <v>481</v>
      </c>
      <c r="BH6" s="331"/>
      <c r="BI6" s="331"/>
      <c r="BJ6" s="331"/>
      <c r="BK6" s="331"/>
      <c r="BL6" s="331"/>
      <c r="BM6" s="331"/>
      <c r="BN6" s="331"/>
      <c r="BO6" s="331"/>
      <c r="BP6" s="331"/>
      <c r="BQ6" s="331"/>
      <c r="BR6" s="331"/>
      <c r="BS6" s="331"/>
      <c r="BT6" s="331"/>
      <c r="BU6" s="331"/>
      <c r="BV6" s="331"/>
      <c r="BW6" s="331"/>
      <c r="BX6" s="330" t="s">
        <v>484</v>
      </c>
      <c r="BY6" s="330"/>
      <c r="BZ6" s="330"/>
      <c r="CA6" s="330"/>
      <c r="CB6" s="330"/>
      <c r="CC6" s="330"/>
      <c r="CD6" s="330"/>
      <c r="CE6" s="330"/>
      <c r="CF6" s="330"/>
      <c r="CG6" s="330"/>
      <c r="CH6" s="330"/>
      <c r="CI6" s="330"/>
      <c r="CJ6" s="330"/>
      <c r="CK6" s="330"/>
      <c r="CL6" s="330"/>
      <c r="CM6" s="330"/>
      <c r="CN6" s="330"/>
      <c r="CO6" s="144" t="s">
        <v>487</v>
      </c>
      <c r="CQ6" s="144" t="s">
        <v>499</v>
      </c>
      <c r="CR6" s="144" t="s">
        <v>500</v>
      </c>
    </row>
    <row r="7" spans="1:106" s="136" customFormat="1" ht="32.25" customHeight="1">
      <c r="A7" s="145"/>
      <c r="B7" s="146"/>
      <c r="C7" s="333"/>
      <c r="D7" s="147" t="s">
        <v>4</v>
      </c>
      <c r="E7" s="147" t="s">
        <v>144</v>
      </c>
      <c r="F7" s="147" t="s">
        <v>236</v>
      </c>
      <c r="G7" s="147" t="s">
        <v>237</v>
      </c>
      <c r="H7" s="147" t="s">
        <v>238</v>
      </c>
      <c r="I7" s="147" t="s">
        <v>239</v>
      </c>
      <c r="J7" s="147" t="s">
        <v>240</v>
      </c>
      <c r="K7" s="147" t="s">
        <v>241</v>
      </c>
      <c r="L7" s="147" t="s">
        <v>242</v>
      </c>
      <c r="M7" s="147" t="s">
        <v>243</v>
      </c>
      <c r="N7" s="147" t="s">
        <v>244</v>
      </c>
      <c r="O7" s="147" t="s">
        <v>245</v>
      </c>
      <c r="P7" s="147" t="s">
        <v>246</v>
      </c>
      <c r="Q7" s="147" t="s">
        <v>247</v>
      </c>
      <c r="R7" s="147" t="s">
        <v>145</v>
      </c>
      <c r="S7" s="147" t="s">
        <v>146</v>
      </c>
      <c r="T7" s="147" t="s">
        <v>147</v>
      </c>
      <c r="U7" s="147" t="s">
        <v>148</v>
      </c>
      <c r="V7" s="148" t="s">
        <v>149</v>
      </c>
      <c r="W7" s="148" t="s">
        <v>150</v>
      </c>
      <c r="X7" s="148" t="s">
        <v>248</v>
      </c>
      <c r="Y7" s="148" t="s">
        <v>249</v>
      </c>
      <c r="Z7" s="148" t="s">
        <v>250</v>
      </c>
      <c r="AA7" s="148" t="s">
        <v>251</v>
      </c>
      <c r="AB7" s="148" t="s">
        <v>252</v>
      </c>
      <c r="AC7" s="148" t="s">
        <v>253</v>
      </c>
      <c r="AD7" s="148" t="s">
        <v>254</v>
      </c>
      <c r="AE7" s="148" t="s">
        <v>255</v>
      </c>
      <c r="AF7" s="148" t="s">
        <v>256</v>
      </c>
      <c r="AG7" s="148" t="s">
        <v>257</v>
      </c>
      <c r="AH7" s="148" t="s">
        <v>258</v>
      </c>
      <c r="AI7" s="148" t="s">
        <v>259</v>
      </c>
      <c r="AJ7" s="148" t="s">
        <v>151</v>
      </c>
      <c r="AK7" s="148" t="s">
        <v>145</v>
      </c>
      <c r="AL7" s="148" t="s">
        <v>146</v>
      </c>
      <c r="AM7" s="148" t="s">
        <v>147</v>
      </c>
      <c r="AN7" s="148" t="s">
        <v>148</v>
      </c>
      <c r="AO7" s="341"/>
      <c r="AP7" s="149" t="s">
        <v>152</v>
      </c>
      <c r="AQ7" s="149" t="s">
        <v>260</v>
      </c>
      <c r="AR7" s="149" t="s">
        <v>261</v>
      </c>
      <c r="AS7" s="149" t="s">
        <v>262</v>
      </c>
      <c r="AT7" s="149" t="s">
        <v>263</v>
      </c>
      <c r="AU7" s="149" t="s">
        <v>264</v>
      </c>
      <c r="AV7" s="149" t="s">
        <v>265</v>
      </c>
      <c r="AW7" s="149" t="s">
        <v>266</v>
      </c>
      <c r="AX7" s="149" t="s">
        <v>267</v>
      </c>
      <c r="AY7" s="149" t="s">
        <v>268</v>
      </c>
      <c r="AZ7" s="149" t="s">
        <v>269</v>
      </c>
      <c r="BA7" s="149" t="s">
        <v>270</v>
      </c>
      <c r="BB7" s="149" t="s">
        <v>271</v>
      </c>
      <c r="BC7" s="149" t="s">
        <v>145</v>
      </c>
      <c r="BD7" s="149" t="s">
        <v>146</v>
      </c>
      <c r="BE7" s="149" t="s">
        <v>147</v>
      </c>
      <c r="BF7" s="149" t="s">
        <v>148</v>
      </c>
      <c r="BG7" s="257" t="s">
        <v>483</v>
      </c>
      <c r="BH7" s="257" t="s">
        <v>431</v>
      </c>
      <c r="BI7" s="257" t="s">
        <v>432</v>
      </c>
      <c r="BJ7" s="257" t="s">
        <v>433</v>
      </c>
      <c r="BK7" s="257" t="s">
        <v>434</v>
      </c>
      <c r="BL7" s="257" t="s">
        <v>435</v>
      </c>
      <c r="BM7" s="257" t="s">
        <v>436</v>
      </c>
      <c r="BN7" s="257" t="s">
        <v>437</v>
      </c>
      <c r="BO7" s="257" t="s">
        <v>438</v>
      </c>
      <c r="BP7" s="257" t="s">
        <v>439</v>
      </c>
      <c r="BQ7" s="257" t="s">
        <v>440</v>
      </c>
      <c r="BR7" s="257" t="s">
        <v>441</v>
      </c>
      <c r="BS7" s="257" t="s">
        <v>442</v>
      </c>
      <c r="BT7" s="257" t="s">
        <v>145</v>
      </c>
      <c r="BU7" s="257" t="s">
        <v>146</v>
      </c>
      <c r="BV7" s="257" t="s">
        <v>147</v>
      </c>
      <c r="BW7" s="257" t="s">
        <v>148</v>
      </c>
      <c r="BX7" s="288" t="s">
        <v>485</v>
      </c>
      <c r="BY7" s="288" t="s">
        <v>419</v>
      </c>
      <c r="BZ7" s="288" t="s">
        <v>420</v>
      </c>
      <c r="CA7" s="288" t="s">
        <v>421</v>
      </c>
      <c r="CB7" s="288" t="s">
        <v>422</v>
      </c>
      <c r="CC7" s="288" t="s">
        <v>423</v>
      </c>
      <c r="CD7" s="288" t="s">
        <v>424</v>
      </c>
      <c r="CE7" s="288" t="s">
        <v>425</v>
      </c>
      <c r="CF7" s="288" t="s">
        <v>426</v>
      </c>
      <c r="CG7" s="288" t="s">
        <v>427</v>
      </c>
      <c r="CH7" s="288" t="s">
        <v>428</v>
      </c>
      <c r="CI7" s="288" t="s">
        <v>429</v>
      </c>
      <c r="CJ7" s="288" t="s">
        <v>430</v>
      </c>
      <c r="CK7" s="288" t="s">
        <v>145</v>
      </c>
      <c r="CL7" s="288" t="s">
        <v>146</v>
      </c>
      <c r="CM7" s="288" t="s">
        <v>147</v>
      </c>
      <c r="CN7" s="288" t="s">
        <v>148</v>
      </c>
      <c r="CQ7" s="136">
        <v>1</v>
      </c>
      <c r="CR7" s="136">
        <v>2</v>
      </c>
      <c r="CS7" s="136">
        <v>3</v>
      </c>
      <c r="CT7" s="136">
        <v>4</v>
      </c>
      <c r="CU7" s="136">
        <v>5</v>
      </c>
      <c r="CV7" s="136">
        <v>6</v>
      </c>
      <c r="CW7" s="136">
        <v>7</v>
      </c>
      <c r="CX7" s="136">
        <v>8</v>
      </c>
      <c r="CY7" s="136">
        <v>9</v>
      </c>
      <c r="CZ7" s="136">
        <v>10</v>
      </c>
      <c r="DA7" s="136">
        <v>11</v>
      </c>
      <c r="DB7" s="136">
        <v>12</v>
      </c>
    </row>
    <row r="8" spans="1:106" s="156" customFormat="1" ht="15.5">
      <c r="A8" s="150" t="str">
        <f>IF((E8+V8)&lt;&gt;0, "in", "ẩn")</f>
        <v>in</v>
      </c>
      <c r="B8" s="151"/>
      <c r="C8" s="152" t="s">
        <v>153</v>
      </c>
      <c r="D8" s="153">
        <v>251738021480</v>
      </c>
      <c r="E8" s="153">
        <v>28074834024</v>
      </c>
      <c r="F8" s="154">
        <v>8625085726</v>
      </c>
      <c r="G8" s="154">
        <v>3123216088</v>
      </c>
      <c r="H8" s="154">
        <v>6873593666</v>
      </c>
      <c r="I8" s="154">
        <v>9452938544</v>
      </c>
      <c r="J8" s="154">
        <v>12187684327</v>
      </c>
      <c r="K8" s="154">
        <v>14572553903</v>
      </c>
      <c r="L8" s="154">
        <v>57110446262</v>
      </c>
      <c r="M8" s="154">
        <v>81979724061</v>
      </c>
      <c r="N8" s="154">
        <v>27445755387</v>
      </c>
      <c r="O8" s="154">
        <v>10025415221</v>
      </c>
      <c r="P8" s="154">
        <v>8751235578</v>
      </c>
      <c r="Q8" s="154">
        <v>11590372717</v>
      </c>
      <c r="R8" s="154">
        <v>18621895480</v>
      </c>
      <c r="S8" s="154">
        <v>36213176774</v>
      </c>
      <c r="T8" s="154">
        <v>166535925710</v>
      </c>
      <c r="U8" s="154">
        <v>30367023516</v>
      </c>
      <c r="V8" s="154">
        <v>283889013569.36047</v>
      </c>
      <c r="W8" s="154">
        <v>283889013569.36047</v>
      </c>
      <c r="X8" s="154">
        <v>13890604830.935463</v>
      </c>
      <c r="Y8" s="154">
        <v>6795929365.9970474</v>
      </c>
      <c r="Z8" s="154">
        <v>8764185916.8881626</v>
      </c>
      <c r="AA8" s="154">
        <v>11350534760.36965</v>
      </c>
      <c r="AB8" s="154">
        <v>12053007277.128941</v>
      </c>
      <c r="AC8" s="154">
        <v>11460245230.24958</v>
      </c>
      <c r="AD8" s="154">
        <v>57113187830.251137</v>
      </c>
      <c r="AE8" s="154">
        <v>78874245173.549988</v>
      </c>
      <c r="AF8" s="154">
        <v>54010530641.652069</v>
      </c>
      <c r="AG8" s="154">
        <v>10638424975.206612</v>
      </c>
      <c r="AH8" s="154">
        <v>9147131223.6800518</v>
      </c>
      <c r="AI8" s="154">
        <v>9790986343.4517612</v>
      </c>
      <c r="AJ8" s="154"/>
      <c r="AK8" s="154">
        <v>29450720113.820671</v>
      </c>
      <c r="AL8" s="154">
        <v>34863787267.748169</v>
      </c>
      <c r="AM8" s="154">
        <v>189997963645.45319</v>
      </c>
      <c r="AN8" s="154">
        <v>29576542542.338425</v>
      </c>
      <c r="AO8" s="155">
        <v>1.127716075229084</v>
      </c>
      <c r="AP8" s="154">
        <v>290852178198</v>
      </c>
      <c r="AQ8" s="154">
        <v>13797963587</v>
      </c>
      <c r="AR8" s="154">
        <v>6659874230</v>
      </c>
      <c r="AS8" s="154">
        <v>9019405457</v>
      </c>
      <c r="AT8" s="154">
        <v>11016654074</v>
      </c>
      <c r="AU8" s="154">
        <v>11810186322</v>
      </c>
      <c r="AV8" s="154">
        <v>10390531914</v>
      </c>
      <c r="AW8" s="154">
        <v>41024125459</v>
      </c>
      <c r="AX8" s="154">
        <v>73871522687</v>
      </c>
      <c r="AY8" s="154">
        <v>80278102476</v>
      </c>
      <c r="AZ8" s="154">
        <v>11306829647</v>
      </c>
      <c r="BA8" s="154">
        <v>8531991581</v>
      </c>
      <c r="BB8" s="154">
        <v>13144990764</v>
      </c>
      <c r="BC8" s="154">
        <v>29477243274</v>
      </c>
      <c r="BD8" s="154">
        <v>33217372310</v>
      </c>
      <c r="BE8" s="154">
        <v>195173750622</v>
      </c>
      <c r="BF8" s="154">
        <v>32983811992</v>
      </c>
      <c r="BG8" s="297">
        <v>303818820953</v>
      </c>
      <c r="BH8" s="260">
        <v>7430996486</v>
      </c>
      <c r="BI8" s="261">
        <v>8583276880</v>
      </c>
      <c r="BJ8" s="261">
        <v>10174546674</v>
      </c>
      <c r="BK8" s="260">
        <v>12180080870</v>
      </c>
      <c r="BL8" s="262">
        <v>11934279308</v>
      </c>
      <c r="BM8" s="262">
        <v>12940754388</v>
      </c>
      <c r="BN8" s="260">
        <v>49533062151</v>
      </c>
      <c r="BO8" s="263">
        <v>84816242627</v>
      </c>
      <c r="BP8" s="263">
        <v>72959961527</v>
      </c>
      <c r="BQ8" s="297">
        <v>12101915370</v>
      </c>
      <c r="BR8" s="261">
        <v>8966700330</v>
      </c>
      <c r="BS8" s="261">
        <v>12197004342</v>
      </c>
      <c r="BT8" s="154">
        <v>26188820040</v>
      </c>
      <c r="BU8" s="154">
        <v>37055114566</v>
      </c>
      <c r="BV8" s="154">
        <v>207309266305</v>
      </c>
      <c r="BW8" s="154">
        <v>33265620042</v>
      </c>
      <c r="BX8" s="154">
        <v>8054506984</v>
      </c>
      <c r="BY8" s="260">
        <v>8054506984</v>
      </c>
      <c r="BZ8" s="261"/>
      <c r="CA8" s="261"/>
      <c r="CB8" s="260"/>
      <c r="CC8" s="262"/>
      <c r="CD8" s="262"/>
      <c r="CE8" s="260"/>
      <c r="CF8" s="263"/>
      <c r="CG8" s="263"/>
      <c r="CH8" s="264"/>
      <c r="CI8" s="261"/>
      <c r="CJ8" s="261"/>
      <c r="CK8" s="172">
        <v>8054506984</v>
      </c>
      <c r="CL8" s="166"/>
      <c r="CM8" s="176"/>
      <c r="CN8" s="177"/>
      <c r="CO8" s="156">
        <f>BG8-AP8</f>
        <v>12966642755</v>
      </c>
      <c r="CP8" s="291">
        <f>IF(AP8&lt;&gt;0,CO8/AP8,"")</f>
        <v>4.4581556292051738E-2</v>
      </c>
      <c r="CQ8" s="291">
        <f>AP8/D8</f>
        <v>1.1553764365352635</v>
      </c>
      <c r="CR8" s="291">
        <f>BG8/AP8</f>
        <v>1.0445815562920517</v>
      </c>
    </row>
    <row r="9" spans="1:106" s="161" customFormat="1" ht="18" hidden="1" customHeight="1" outlineLevel="1">
      <c r="A9" s="150" t="str">
        <f t="shared" ref="A9:A74" si="0">IF((E9+V9)&lt;&gt;0, "in", "ẩn")</f>
        <v>in</v>
      </c>
      <c r="B9" s="150"/>
      <c r="C9" s="157" t="s">
        <v>154</v>
      </c>
      <c r="D9" s="158">
        <v>76063779652</v>
      </c>
      <c r="E9" s="158">
        <v>17405522750</v>
      </c>
      <c r="F9" s="159">
        <v>6054371544</v>
      </c>
      <c r="G9" s="159">
        <v>1592962480</v>
      </c>
      <c r="H9" s="159">
        <v>4857041894</v>
      </c>
      <c r="I9" s="159">
        <v>4901146832</v>
      </c>
      <c r="J9" s="159">
        <v>5698773042</v>
      </c>
      <c r="K9" s="159">
        <v>5610862091</v>
      </c>
      <c r="L9" s="159">
        <v>6421054729</v>
      </c>
      <c r="M9" s="159">
        <v>11310822536</v>
      </c>
      <c r="N9" s="159">
        <v>7134202337</v>
      </c>
      <c r="O9" s="159">
        <v>7576579001</v>
      </c>
      <c r="P9" s="159">
        <v>6182501598</v>
      </c>
      <c r="Q9" s="159">
        <v>8723461568</v>
      </c>
      <c r="R9" s="159">
        <v>12504375918</v>
      </c>
      <c r="S9" s="159">
        <v>16210781965</v>
      </c>
      <c r="T9" s="159">
        <v>24866079602</v>
      </c>
      <c r="U9" s="159">
        <v>22482542167</v>
      </c>
      <c r="V9" s="159">
        <v>81184500758.548386</v>
      </c>
      <c r="W9" s="159">
        <v>81184500758.548386</v>
      </c>
      <c r="X9" s="159">
        <v>4922924815.935463</v>
      </c>
      <c r="Y9" s="159">
        <v>4848335045.9970474</v>
      </c>
      <c r="Z9" s="159">
        <v>6116361134.9501219</v>
      </c>
      <c r="AA9" s="159">
        <v>5967181595.0732889</v>
      </c>
      <c r="AB9" s="159">
        <v>5967181595.0732889</v>
      </c>
      <c r="AC9" s="159">
        <v>5594232745.3812075</v>
      </c>
      <c r="AD9" s="159">
        <v>6253705827.3944349</v>
      </c>
      <c r="AE9" s="159">
        <v>11502240103.291908</v>
      </c>
      <c r="AF9" s="159">
        <v>8978022772.8182793</v>
      </c>
      <c r="AG9" s="159">
        <v>6713079294.4574499</v>
      </c>
      <c r="AH9" s="159">
        <v>6340130444.7653694</v>
      </c>
      <c r="AI9" s="159">
        <v>7981105383.4105244</v>
      </c>
      <c r="AJ9" s="159"/>
      <c r="AK9" s="159">
        <v>15887620996.882633</v>
      </c>
      <c r="AL9" s="159">
        <v>17528595935.527786</v>
      </c>
      <c r="AM9" s="159">
        <v>26733968703.504623</v>
      </c>
      <c r="AN9" s="159">
        <v>21034315122.633347</v>
      </c>
      <c r="AO9" s="160">
        <v>1.0673214127667101</v>
      </c>
      <c r="AP9" s="159">
        <v>81373286457</v>
      </c>
      <c r="AQ9" s="159">
        <v>4830283572</v>
      </c>
      <c r="AR9" s="159">
        <v>4712279910</v>
      </c>
      <c r="AS9" s="159">
        <v>7072764093</v>
      </c>
      <c r="AT9" s="159">
        <v>5408472034</v>
      </c>
      <c r="AU9" s="159">
        <v>6016204962</v>
      </c>
      <c r="AV9" s="159">
        <v>4801915961</v>
      </c>
      <c r="AW9" s="159">
        <v>6176217612</v>
      </c>
      <c r="AX9" s="159">
        <v>9149002663</v>
      </c>
      <c r="AY9" s="159">
        <v>7924417131</v>
      </c>
      <c r="AZ9" s="159">
        <v>8578469977</v>
      </c>
      <c r="BA9" s="159">
        <v>6649639235</v>
      </c>
      <c r="BB9" s="159">
        <v>10053619307</v>
      </c>
      <c r="BC9" s="159">
        <v>16615327575</v>
      </c>
      <c r="BD9" s="159">
        <v>16226592957</v>
      </c>
      <c r="BE9" s="159">
        <v>23249637406</v>
      </c>
      <c r="BF9" s="159">
        <v>25281728519</v>
      </c>
      <c r="BG9" s="297">
        <v>83706619216</v>
      </c>
      <c r="BH9" s="260">
        <v>5605574756</v>
      </c>
      <c r="BI9" s="261">
        <v>2684922792</v>
      </c>
      <c r="BJ9" s="261">
        <v>7207167543</v>
      </c>
      <c r="BK9" s="260">
        <v>5605574756</v>
      </c>
      <c r="BL9" s="262">
        <v>5841303928</v>
      </c>
      <c r="BM9" s="262">
        <v>5605574756</v>
      </c>
      <c r="BN9" s="260">
        <v>7569865528</v>
      </c>
      <c r="BO9" s="263">
        <v>10096362694</v>
      </c>
      <c r="BP9" s="263">
        <v>9748914264</v>
      </c>
      <c r="BQ9" s="260">
        <v>8007963937</v>
      </c>
      <c r="BR9" s="261">
        <v>6123837539</v>
      </c>
      <c r="BS9" s="265">
        <v>9609556723</v>
      </c>
      <c r="BT9" s="159">
        <v>15497665091</v>
      </c>
      <c r="BU9" s="159">
        <v>17052453440</v>
      </c>
      <c r="BV9" s="159">
        <v>27415142486</v>
      </c>
      <c r="BW9" s="159">
        <v>23741358199</v>
      </c>
      <c r="BX9" s="154">
        <v>6239085254</v>
      </c>
      <c r="BY9" s="260">
        <v>6239085254</v>
      </c>
      <c r="BZ9" s="261"/>
      <c r="CA9" s="261"/>
      <c r="CB9" s="260"/>
      <c r="CC9" s="262"/>
      <c r="CD9" s="262"/>
      <c r="CE9" s="260"/>
      <c r="CF9" s="263"/>
      <c r="CG9" s="263"/>
      <c r="CH9" s="264"/>
      <c r="CI9" s="261"/>
      <c r="CJ9" s="265"/>
      <c r="CK9" s="172">
        <v>6239085254</v>
      </c>
      <c r="CL9" s="166"/>
      <c r="CM9" s="176"/>
      <c r="CN9" s="177"/>
      <c r="CO9" s="156">
        <f t="shared" ref="CO9:CO72" si="1">BG9-AP9</f>
        <v>2333332759</v>
      </c>
      <c r="CP9" s="291">
        <f t="shared" ref="CP9:CP72" si="2">IF(AP9&lt;&gt;0,CO9/AP9,"")</f>
        <v>2.8674431875539409E-2</v>
      </c>
      <c r="CQ9" s="291">
        <f t="shared" ref="CQ9:CQ44" si="3">AP9/D9</f>
        <v>1.069803352256377</v>
      </c>
      <c r="CR9" s="291">
        <f t="shared" ref="CR9:CR44" si="4">BG9/AP9</f>
        <v>1.0286744318755394</v>
      </c>
    </row>
    <row r="10" spans="1:106" s="165" customFormat="1" ht="18" hidden="1" customHeight="1" outlineLevel="2">
      <c r="A10" s="150" t="str">
        <f t="shared" si="0"/>
        <v>in</v>
      </c>
      <c r="B10" s="162"/>
      <c r="C10" s="163" t="s">
        <v>272</v>
      </c>
      <c r="D10" s="158">
        <v>70181718652</v>
      </c>
      <c r="E10" s="158">
        <v>17405522750</v>
      </c>
      <c r="F10" s="164">
        <v>6054371544</v>
      </c>
      <c r="G10" s="164">
        <v>1592962480</v>
      </c>
      <c r="H10" s="164">
        <v>4857041894</v>
      </c>
      <c r="I10" s="164">
        <v>4901146832</v>
      </c>
      <c r="J10" s="164">
        <v>5698773042</v>
      </c>
      <c r="K10" s="164">
        <v>5209021091</v>
      </c>
      <c r="L10" s="164">
        <v>6214276729</v>
      </c>
      <c r="M10" s="164">
        <v>7336395536</v>
      </c>
      <c r="N10" s="164">
        <v>5835187337</v>
      </c>
      <c r="O10" s="164">
        <v>7576579001</v>
      </c>
      <c r="P10" s="164">
        <v>6182501598</v>
      </c>
      <c r="Q10" s="164">
        <v>8723461568</v>
      </c>
      <c r="R10" s="164">
        <v>12504375918</v>
      </c>
      <c r="S10" s="164">
        <v>15808940965</v>
      </c>
      <c r="T10" s="164">
        <v>19385859602</v>
      </c>
      <c r="U10" s="164">
        <v>22482542167</v>
      </c>
      <c r="V10" s="164">
        <v>74589769938.416107</v>
      </c>
      <c r="W10" s="164">
        <v>74589769938.416107</v>
      </c>
      <c r="X10" s="164">
        <v>4922924815.935463</v>
      </c>
      <c r="Y10" s="164">
        <v>4848335045.9970474</v>
      </c>
      <c r="Z10" s="164">
        <v>6116361134.9501219</v>
      </c>
      <c r="AA10" s="164">
        <v>5967181595.0732889</v>
      </c>
      <c r="AB10" s="164">
        <v>5967181595.0732889</v>
      </c>
      <c r="AC10" s="164">
        <v>5594232745.3812075</v>
      </c>
      <c r="AD10" s="164">
        <v>5594232745.3812075</v>
      </c>
      <c r="AE10" s="164">
        <v>8204874693.225771</v>
      </c>
      <c r="AF10" s="164">
        <v>6340130444.7653694</v>
      </c>
      <c r="AG10" s="164">
        <v>6713079294.4574499</v>
      </c>
      <c r="AH10" s="164">
        <v>6340130444.7653694</v>
      </c>
      <c r="AI10" s="164">
        <v>7981105383.4105244</v>
      </c>
      <c r="AJ10" s="164"/>
      <c r="AK10" s="164">
        <v>15887620996.882633</v>
      </c>
      <c r="AL10" s="164">
        <v>17528595935.527786</v>
      </c>
      <c r="AM10" s="164">
        <v>20139237883.372349</v>
      </c>
      <c r="AN10" s="164">
        <v>21034315122.633347</v>
      </c>
      <c r="AO10" s="160">
        <v>1.0628091099944941</v>
      </c>
      <c r="AP10" s="164">
        <v>77856340057</v>
      </c>
      <c r="AQ10" s="164">
        <v>4830283572</v>
      </c>
      <c r="AR10" s="164">
        <v>4712279910</v>
      </c>
      <c r="AS10" s="164">
        <v>7072764093</v>
      </c>
      <c r="AT10" s="164">
        <v>5408472034</v>
      </c>
      <c r="AU10" s="164">
        <v>6016204962</v>
      </c>
      <c r="AV10" s="164">
        <v>4801915961</v>
      </c>
      <c r="AW10" s="164">
        <v>5841597612</v>
      </c>
      <c r="AX10" s="227">
        <v>7855386163</v>
      </c>
      <c r="AY10" s="227">
        <v>6035707231</v>
      </c>
      <c r="AZ10" s="164">
        <v>8578469977</v>
      </c>
      <c r="BA10" s="164">
        <v>6649639235</v>
      </c>
      <c r="BB10" s="164">
        <v>10053619307</v>
      </c>
      <c r="BC10" s="164">
        <v>16615327575</v>
      </c>
      <c r="BD10" s="164">
        <v>16226592957</v>
      </c>
      <c r="BE10" s="164">
        <v>19732691006</v>
      </c>
      <c r="BF10" s="164">
        <v>25281728519</v>
      </c>
      <c r="BG10" s="297">
        <v>80079639368</v>
      </c>
      <c r="BH10" s="260">
        <v>5605574756</v>
      </c>
      <c r="BI10" s="261">
        <v>2684922792</v>
      </c>
      <c r="BJ10" s="261">
        <v>7207167543</v>
      </c>
      <c r="BK10" s="260">
        <v>5605574756</v>
      </c>
      <c r="BL10" s="262">
        <v>5841303928</v>
      </c>
      <c r="BM10" s="262">
        <v>5605574756</v>
      </c>
      <c r="BN10" s="260">
        <v>7207167543</v>
      </c>
      <c r="BO10" s="263">
        <v>8573031158</v>
      </c>
      <c r="BP10" s="263">
        <v>8007963937</v>
      </c>
      <c r="BQ10" s="261">
        <v>8007963937</v>
      </c>
      <c r="BR10" s="261">
        <v>6123837539</v>
      </c>
      <c r="BS10" s="265">
        <v>9609556723</v>
      </c>
      <c r="BT10" s="164">
        <v>15497665091</v>
      </c>
      <c r="BU10" s="164">
        <v>17052453440</v>
      </c>
      <c r="BV10" s="164">
        <v>23788162638</v>
      </c>
      <c r="BW10" s="164">
        <v>23741358199</v>
      </c>
      <c r="BX10" s="154">
        <v>6239085254</v>
      </c>
      <c r="BY10" s="260">
        <v>6239085254</v>
      </c>
      <c r="BZ10" s="261"/>
      <c r="CA10" s="261"/>
      <c r="CB10" s="260"/>
      <c r="CC10" s="262"/>
      <c r="CD10" s="262"/>
      <c r="CE10" s="260"/>
      <c r="CF10" s="263"/>
      <c r="CG10" s="263"/>
      <c r="CH10" s="264"/>
      <c r="CI10" s="261"/>
      <c r="CJ10" s="265"/>
      <c r="CK10" s="172">
        <v>6239085254</v>
      </c>
      <c r="CL10" s="166"/>
      <c r="CM10" s="176"/>
      <c r="CN10" s="177"/>
      <c r="CO10" s="156">
        <f t="shared" si="1"/>
        <v>2223299311</v>
      </c>
      <c r="CP10" s="291">
        <f t="shared" si="2"/>
        <v>2.8556432390378014E-2</v>
      </c>
      <c r="CQ10" s="291">
        <f t="shared" si="3"/>
        <v>1.1093535688838718</v>
      </c>
      <c r="CR10" s="291">
        <f t="shared" si="4"/>
        <v>1.028556432390378</v>
      </c>
    </row>
    <row r="11" spans="1:106" s="165" customFormat="1" ht="18" hidden="1" customHeight="1" outlineLevel="2">
      <c r="A11" s="150" t="str">
        <f t="shared" si="0"/>
        <v>in</v>
      </c>
      <c r="B11" s="162"/>
      <c r="C11" s="163" t="s">
        <v>273</v>
      </c>
      <c r="D11" s="158">
        <v>5882061000</v>
      </c>
      <c r="E11" s="158">
        <v>0</v>
      </c>
      <c r="F11" s="164">
        <v>0</v>
      </c>
      <c r="G11" s="164">
        <v>0</v>
      </c>
      <c r="H11" s="164">
        <v>0</v>
      </c>
      <c r="I11" s="164">
        <v>0</v>
      </c>
      <c r="J11" s="164">
        <v>0</v>
      </c>
      <c r="K11" s="164">
        <v>401841000</v>
      </c>
      <c r="L11" s="164">
        <v>206778000</v>
      </c>
      <c r="M11" s="164">
        <v>3974427000</v>
      </c>
      <c r="N11" s="164">
        <v>1299015000</v>
      </c>
      <c r="O11" s="164">
        <v>0</v>
      </c>
      <c r="P11" s="164">
        <v>0</v>
      </c>
      <c r="Q11" s="164">
        <v>0</v>
      </c>
      <c r="R11" s="164">
        <v>0</v>
      </c>
      <c r="S11" s="164">
        <v>401841000</v>
      </c>
      <c r="T11" s="164">
        <v>5480220000</v>
      </c>
      <c r="U11" s="164">
        <v>0</v>
      </c>
      <c r="V11" s="164">
        <v>6594730820.1322746</v>
      </c>
      <c r="W11" s="164">
        <v>6594730820.1322746</v>
      </c>
      <c r="X11" s="164">
        <v>0</v>
      </c>
      <c r="Y11" s="164">
        <v>0</v>
      </c>
      <c r="Z11" s="164">
        <v>0</v>
      </c>
      <c r="AA11" s="164">
        <v>0</v>
      </c>
      <c r="AB11" s="164">
        <v>0</v>
      </c>
      <c r="AC11" s="164">
        <v>0</v>
      </c>
      <c r="AD11" s="164">
        <v>659473082.01322746</v>
      </c>
      <c r="AE11" s="164">
        <v>3297365410.0661373</v>
      </c>
      <c r="AF11" s="164">
        <v>2637892328.0529099</v>
      </c>
      <c r="AG11" s="164">
        <v>0</v>
      </c>
      <c r="AH11" s="164">
        <v>0</v>
      </c>
      <c r="AI11" s="164">
        <v>0</v>
      </c>
      <c r="AJ11" s="164"/>
      <c r="AK11" s="164">
        <v>0</v>
      </c>
      <c r="AL11" s="164">
        <v>0</v>
      </c>
      <c r="AM11" s="164">
        <v>6594730820.1322746</v>
      </c>
      <c r="AN11" s="164">
        <v>0</v>
      </c>
      <c r="AO11" s="160">
        <v>1.1211598825874596</v>
      </c>
      <c r="AP11" s="164">
        <v>3516946400</v>
      </c>
      <c r="AQ11" s="164"/>
      <c r="AR11" s="164"/>
      <c r="AS11" s="164"/>
      <c r="AT11" s="164"/>
      <c r="AU11" s="164"/>
      <c r="AV11" s="164"/>
      <c r="AW11" s="164">
        <v>334620000</v>
      </c>
      <c r="AX11" s="228">
        <v>1293616500</v>
      </c>
      <c r="AY11" s="228">
        <v>1888709900</v>
      </c>
      <c r="AZ11" s="164"/>
      <c r="BA11" s="164"/>
      <c r="BB11" s="164"/>
      <c r="BC11" s="164">
        <v>0</v>
      </c>
      <c r="BD11" s="164">
        <v>0</v>
      </c>
      <c r="BE11" s="164">
        <v>3516946400</v>
      </c>
      <c r="BF11" s="164">
        <v>0</v>
      </c>
      <c r="BG11" s="297">
        <v>3626979848</v>
      </c>
      <c r="BH11" s="260">
        <v>0</v>
      </c>
      <c r="BI11" s="261">
        <v>0</v>
      </c>
      <c r="BJ11" s="261">
        <v>0</v>
      </c>
      <c r="BK11" s="260">
        <v>0</v>
      </c>
      <c r="BL11" s="262">
        <v>0</v>
      </c>
      <c r="BM11" s="262">
        <v>362697985</v>
      </c>
      <c r="BN11" s="260">
        <v>1523331536</v>
      </c>
      <c r="BO11" s="263">
        <v>1740950327</v>
      </c>
      <c r="BP11" s="263">
        <v>0</v>
      </c>
      <c r="BQ11" s="261">
        <v>0</v>
      </c>
      <c r="BR11" s="261">
        <v>0</v>
      </c>
      <c r="BS11" s="265">
        <v>0</v>
      </c>
      <c r="BT11" s="164">
        <v>0</v>
      </c>
      <c r="BU11" s="164">
        <v>362697985</v>
      </c>
      <c r="BV11" s="164">
        <v>3264281863</v>
      </c>
      <c r="BW11" s="164">
        <v>0</v>
      </c>
      <c r="BX11" s="154">
        <v>0</v>
      </c>
      <c r="BY11" s="260"/>
      <c r="BZ11" s="261"/>
      <c r="CA11" s="261"/>
      <c r="CB11" s="260"/>
      <c r="CC11" s="262"/>
      <c r="CD11" s="262"/>
      <c r="CE11" s="260"/>
      <c r="CF11" s="263"/>
      <c r="CG11" s="263"/>
      <c r="CH11" s="264"/>
      <c r="CI11" s="261"/>
      <c r="CJ11" s="265"/>
      <c r="CK11" s="172"/>
      <c r="CL11" s="166"/>
      <c r="CM11" s="176"/>
      <c r="CN11" s="177"/>
      <c r="CO11" s="156">
        <f t="shared" si="1"/>
        <v>110033448</v>
      </c>
      <c r="CP11" s="291">
        <f t="shared" si="2"/>
        <v>3.1286643435907924E-2</v>
      </c>
      <c r="CQ11" s="291">
        <f t="shared" si="3"/>
        <v>0.59791056230120698</v>
      </c>
      <c r="CR11" s="291">
        <f t="shared" si="4"/>
        <v>1.0312866434359078</v>
      </c>
    </row>
    <row r="12" spans="1:106" s="161" customFormat="1" ht="18" hidden="1" customHeight="1" outlineLevel="1">
      <c r="A12" s="150" t="str">
        <f t="shared" si="0"/>
        <v>in</v>
      </c>
      <c r="B12" s="150"/>
      <c r="C12" s="157" t="s">
        <v>155</v>
      </c>
      <c r="D12" s="166">
        <v>174389248075</v>
      </c>
      <c r="E12" s="166">
        <v>10669311274</v>
      </c>
      <c r="F12" s="159">
        <v>2570714182</v>
      </c>
      <c r="G12" s="159">
        <v>1530253608</v>
      </c>
      <c r="H12" s="159">
        <v>2016551772</v>
      </c>
      <c r="I12" s="159">
        <v>4551791712</v>
      </c>
      <c r="J12" s="159">
        <v>6488911285</v>
      </c>
      <c r="K12" s="159">
        <v>8928464540</v>
      </c>
      <c r="L12" s="159">
        <v>50669391533</v>
      </c>
      <c r="M12" s="159">
        <v>70668901525</v>
      </c>
      <c r="N12" s="159">
        <v>20293738278</v>
      </c>
      <c r="O12" s="159">
        <v>2448836220</v>
      </c>
      <c r="P12" s="159">
        <v>2558733980</v>
      </c>
      <c r="Q12" s="159">
        <v>1662959440</v>
      </c>
      <c r="R12" s="159">
        <v>6117519562</v>
      </c>
      <c r="S12" s="159">
        <v>19969167537</v>
      </c>
      <c r="T12" s="159">
        <v>141632031336</v>
      </c>
      <c r="U12" s="159">
        <v>6670529640</v>
      </c>
      <c r="V12" s="159">
        <v>195703490668.79391</v>
      </c>
      <c r="W12" s="159">
        <v>195703490668.79391</v>
      </c>
      <c r="X12" s="159">
        <v>2374483990</v>
      </c>
      <c r="Y12" s="159">
        <v>1761977800</v>
      </c>
      <c r="Z12" s="159">
        <v>2550942317.9380407</v>
      </c>
      <c r="AA12" s="159">
        <v>5383353165.296361</v>
      </c>
      <c r="AB12" s="159">
        <v>6085825682.0556526</v>
      </c>
      <c r="AC12" s="159">
        <v>5824115031.777463</v>
      </c>
      <c r="AD12" s="159">
        <v>50859482002.856705</v>
      </c>
      <c r="AE12" s="159">
        <v>67372005070.258087</v>
      </c>
      <c r="AF12" s="159">
        <v>44988664823.379242</v>
      </c>
      <c r="AG12" s="159">
        <v>3925345680.7491622</v>
      </c>
      <c r="AH12" s="159">
        <v>2807000778.9146829</v>
      </c>
      <c r="AI12" s="159">
        <v>1770294325.5685096</v>
      </c>
      <c r="AJ12" s="159"/>
      <c r="AK12" s="159">
        <v>6687404107.9380407</v>
      </c>
      <c r="AL12" s="159">
        <v>17293293879.129475</v>
      </c>
      <c r="AM12" s="159">
        <v>163220151896.49402</v>
      </c>
      <c r="AN12" s="159">
        <v>8502640785.2323551</v>
      </c>
      <c r="AO12" s="160">
        <v>1.1222222288877997</v>
      </c>
      <c r="AP12" s="159">
        <v>201201615196</v>
      </c>
      <c r="AQ12" s="159">
        <v>2374483990</v>
      </c>
      <c r="AR12" s="159">
        <v>1761977800</v>
      </c>
      <c r="AS12" s="159">
        <v>1849758900</v>
      </c>
      <c r="AT12" s="159">
        <v>5568182040</v>
      </c>
      <c r="AU12" s="159">
        <v>5763981360</v>
      </c>
      <c r="AV12" s="159">
        <v>5407600440</v>
      </c>
      <c r="AW12" s="159">
        <v>34827907847</v>
      </c>
      <c r="AX12" s="159">
        <v>64702520024</v>
      </c>
      <c r="AY12" s="159">
        <v>72239489139</v>
      </c>
      <c r="AZ12" s="159">
        <v>2718359670</v>
      </c>
      <c r="BA12" s="159">
        <v>1871237346</v>
      </c>
      <c r="BB12" s="159">
        <v>2116116640</v>
      </c>
      <c r="BC12" s="159">
        <v>5986220690</v>
      </c>
      <c r="BD12" s="159">
        <v>16739763840</v>
      </c>
      <c r="BE12" s="159">
        <v>171769917010</v>
      </c>
      <c r="BF12" s="159">
        <v>6705713656</v>
      </c>
      <c r="BG12" s="297">
        <v>215602968715</v>
      </c>
      <c r="BH12" s="260">
        <v>1815421730</v>
      </c>
      <c r="BI12" s="261">
        <v>1927707792</v>
      </c>
      <c r="BJ12" s="261">
        <v>2884808421</v>
      </c>
      <c r="BK12" s="260">
        <v>6554506114</v>
      </c>
      <c r="BL12" s="262">
        <v>6082975380</v>
      </c>
      <c r="BM12" s="262">
        <v>7205062568</v>
      </c>
      <c r="BN12" s="260">
        <v>41933196623</v>
      </c>
      <c r="BO12" s="263">
        <v>74699879933</v>
      </c>
      <c r="BP12" s="263">
        <v>63101560867</v>
      </c>
      <c r="BQ12" s="260">
        <v>4083951433</v>
      </c>
      <c r="BR12" s="261">
        <v>2832862791</v>
      </c>
      <c r="BS12" s="265">
        <v>2481035063</v>
      </c>
      <c r="BT12" s="159">
        <v>6627937943</v>
      </c>
      <c r="BU12" s="159">
        <v>19842544062</v>
      </c>
      <c r="BV12" s="159">
        <v>179734637423</v>
      </c>
      <c r="BW12" s="159">
        <v>9397849287</v>
      </c>
      <c r="BX12" s="154">
        <v>1815421730</v>
      </c>
      <c r="BY12" s="260">
        <v>1815421730</v>
      </c>
      <c r="BZ12" s="261"/>
      <c r="CA12" s="261"/>
      <c r="CB12" s="260"/>
      <c r="CC12" s="262"/>
      <c r="CD12" s="262"/>
      <c r="CE12" s="260"/>
      <c r="CF12" s="263"/>
      <c r="CG12" s="263"/>
      <c r="CH12" s="264"/>
      <c r="CI12" s="261"/>
      <c r="CJ12" s="265"/>
      <c r="CK12" s="172">
        <v>1815421730</v>
      </c>
      <c r="CL12" s="166"/>
      <c r="CM12" s="176"/>
      <c r="CN12" s="177"/>
      <c r="CO12" s="156">
        <f t="shared" si="1"/>
        <v>14401353519</v>
      </c>
      <c r="CP12" s="291">
        <f t="shared" si="2"/>
        <v>7.1576729167760214E-2</v>
      </c>
      <c r="CQ12" s="291">
        <f t="shared" si="3"/>
        <v>1.153750116001812</v>
      </c>
      <c r="CR12" s="291">
        <f t="shared" si="4"/>
        <v>1.0715767291677603</v>
      </c>
    </row>
    <row r="13" spans="1:106" s="170" customFormat="1" ht="18" hidden="1" customHeight="1" outlineLevel="2">
      <c r="A13" s="150" t="str">
        <f t="shared" si="0"/>
        <v>in</v>
      </c>
      <c r="B13" s="167"/>
      <c r="C13" s="168" t="s">
        <v>274</v>
      </c>
      <c r="D13" s="169">
        <v>41816349253</v>
      </c>
      <c r="E13" s="169">
        <v>10669311274</v>
      </c>
      <c r="F13" s="169">
        <v>2570714182</v>
      </c>
      <c r="G13" s="169">
        <v>1530253608</v>
      </c>
      <c r="H13" s="169">
        <v>2016551772</v>
      </c>
      <c r="I13" s="169">
        <v>4551791712</v>
      </c>
      <c r="J13" s="169">
        <v>6488911285</v>
      </c>
      <c r="K13" s="169">
        <v>4060850756</v>
      </c>
      <c r="L13" s="169">
        <v>6721621934</v>
      </c>
      <c r="M13" s="169">
        <v>4475550994</v>
      </c>
      <c r="N13" s="169">
        <v>2729573370</v>
      </c>
      <c r="O13" s="169">
        <v>2448836220</v>
      </c>
      <c r="P13" s="169">
        <v>2558733980</v>
      </c>
      <c r="Q13" s="169">
        <v>1662959440</v>
      </c>
      <c r="R13" s="169">
        <v>6117519562</v>
      </c>
      <c r="S13" s="169">
        <v>15101553753</v>
      </c>
      <c r="T13" s="169">
        <v>13926746298</v>
      </c>
      <c r="U13" s="169">
        <v>6670529640</v>
      </c>
      <c r="V13" s="169">
        <v>47876033702.047379</v>
      </c>
      <c r="W13" s="169">
        <v>47876033702.047379</v>
      </c>
      <c r="X13" s="169">
        <v>2374483990</v>
      </c>
      <c r="Y13" s="169">
        <v>1761977800</v>
      </c>
      <c r="Z13" s="169">
        <v>2550942317.9380407</v>
      </c>
      <c r="AA13" s="169">
        <v>5383353165.296361</v>
      </c>
      <c r="AB13" s="169">
        <v>6085825682.0556526</v>
      </c>
      <c r="AC13" s="169">
        <v>5824115031.777463</v>
      </c>
      <c r="AD13" s="169">
        <v>6762052690.1830053</v>
      </c>
      <c r="AE13" s="169">
        <v>5234311588.7544937</v>
      </c>
      <c r="AF13" s="169">
        <v>3396330650.8100066</v>
      </c>
      <c r="AG13" s="169">
        <v>3925345680.7491622</v>
      </c>
      <c r="AH13" s="169">
        <v>2807000778.9146829</v>
      </c>
      <c r="AI13" s="169">
        <v>1770294325.5685096</v>
      </c>
      <c r="AJ13" s="169"/>
      <c r="AK13" s="169">
        <v>6687404107.9380407</v>
      </c>
      <c r="AL13" s="169">
        <v>17293293879.129475</v>
      </c>
      <c r="AM13" s="169">
        <v>15392694929.747507</v>
      </c>
      <c r="AN13" s="169">
        <v>8502640785.2323551</v>
      </c>
      <c r="AO13" s="160">
        <v>1.1449118480521741</v>
      </c>
      <c r="AP13" s="169">
        <v>45036083653</v>
      </c>
      <c r="AQ13" s="169">
        <v>2374483990</v>
      </c>
      <c r="AR13" s="169">
        <v>1761977800</v>
      </c>
      <c r="AS13" s="169">
        <v>1849758900</v>
      </c>
      <c r="AT13" s="169">
        <v>5568182040</v>
      </c>
      <c r="AU13" s="169">
        <v>5763981360</v>
      </c>
      <c r="AV13" s="169">
        <v>5407600440</v>
      </c>
      <c r="AW13" s="169">
        <v>5334000711</v>
      </c>
      <c r="AX13" s="229">
        <v>5800635116</v>
      </c>
      <c r="AY13" s="229">
        <v>4480430840</v>
      </c>
      <c r="AZ13" s="169">
        <v>2707678470</v>
      </c>
      <c r="BA13" s="169">
        <v>1871237346</v>
      </c>
      <c r="BB13" s="169">
        <v>2116116640</v>
      </c>
      <c r="BC13" s="169">
        <v>5986220690</v>
      </c>
      <c r="BD13" s="169">
        <v>16739763840</v>
      </c>
      <c r="BE13" s="169">
        <v>15615066667</v>
      </c>
      <c r="BF13" s="169">
        <v>6695032456</v>
      </c>
      <c r="BG13" s="297">
        <v>55546294310</v>
      </c>
      <c r="BH13" s="260">
        <v>1815421730</v>
      </c>
      <c r="BI13" s="261">
        <v>1927707792</v>
      </c>
      <c r="BJ13" s="261">
        <v>2884808421</v>
      </c>
      <c r="BK13" s="260">
        <v>6554506114</v>
      </c>
      <c r="BL13" s="262">
        <v>6082975380</v>
      </c>
      <c r="BM13" s="262">
        <v>7205062568</v>
      </c>
      <c r="BN13" s="260">
        <v>6989093106</v>
      </c>
      <c r="BO13" s="263">
        <v>7476076683</v>
      </c>
      <c r="BP13" s="263">
        <v>5212793229</v>
      </c>
      <c r="BQ13" s="262">
        <v>4083951433</v>
      </c>
      <c r="BR13" s="261">
        <v>2832862791</v>
      </c>
      <c r="BS13" s="265">
        <v>2481035063</v>
      </c>
      <c r="BT13" s="169">
        <v>6627937943</v>
      </c>
      <c r="BU13" s="169">
        <v>19842544062</v>
      </c>
      <c r="BV13" s="169">
        <v>19677963018</v>
      </c>
      <c r="BW13" s="169">
        <v>9397849287</v>
      </c>
      <c r="BX13" s="154">
        <v>1815421730</v>
      </c>
      <c r="BY13" s="260">
        <v>1815421730</v>
      </c>
      <c r="BZ13" s="261"/>
      <c r="CA13" s="261"/>
      <c r="CB13" s="260"/>
      <c r="CC13" s="262"/>
      <c r="CD13" s="262"/>
      <c r="CE13" s="260"/>
      <c r="CF13" s="263"/>
      <c r="CG13" s="263"/>
      <c r="CH13" s="264"/>
      <c r="CI13" s="261"/>
      <c r="CJ13" s="265"/>
      <c r="CK13" s="172">
        <v>1815421730</v>
      </c>
      <c r="CL13" s="166"/>
      <c r="CM13" s="176"/>
      <c r="CN13" s="177"/>
      <c r="CO13" s="156">
        <f t="shared" si="1"/>
        <v>10510210657</v>
      </c>
      <c r="CP13" s="291">
        <f t="shared" si="2"/>
        <v>0.23337310450838636</v>
      </c>
      <c r="CQ13" s="291">
        <f t="shared" si="3"/>
        <v>1.0769970228754249</v>
      </c>
      <c r="CR13" s="291">
        <f t="shared" si="4"/>
        <v>1.2333731045083864</v>
      </c>
    </row>
    <row r="14" spans="1:106" s="170" customFormat="1" ht="18" hidden="1" customHeight="1" outlineLevel="2">
      <c r="A14" s="150" t="str">
        <f t="shared" si="0"/>
        <v>in</v>
      </c>
      <c r="B14" s="167"/>
      <c r="C14" s="168" t="s">
        <v>275</v>
      </c>
      <c r="D14" s="169">
        <v>132572898822</v>
      </c>
      <c r="E14" s="169">
        <v>0</v>
      </c>
      <c r="F14" s="169">
        <v>0</v>
      </c>
      <c r="G14" s="169">
        <v>0</v>
      </c>
      <c r="H14" s="169">
        <v>0</v>
      </c>
      <c r="I14" s="169">
        <v>0</v>
      </c>
      <c r="J14" s="169">
        <v>0</v>
      </c>
      <c r="K14" s="169">
        <v>4867613784</v>
      </c>
      <c r="L14" s="169">
        <v>43947769599</v>
      </c>
      <c r="M14" s="169">
        <v>66193350531</v>
      </c>
      <c r="N14" s="169">
        <v>17564164908</v>
      </c>
      <c r="O14" s="169">
        <v>0</v>
      </c>
      <c r="P14" s="169">
        <v>0</v>
      </c>
      <c r="Q14" s="169">
        <v>0</v>
      </c>
      <c r="R14" s="169">
        <v>0</v>
      </c>
      <c r="S14" s="169">
        <v>4867613784</v>
      </c>
      <c r="T14" s="169">
        <v>127705285038</v>
      </c>
      <c r="U14" s="169">
        <v>0</v>
      </c>
      <c r="V14" s="169">
        <v>147827456966.74652</v>
      </c>
      <c r="W14" s="169">
        <v>147827456966.74652</v>
      </c>
      <c r="X14" s="169">
        <v>0</v>
      </c>
      <c r="Y14" s="169">
        <v>0</v>
      </c>
      <c r="Z14" s="169">
        <v>0</v>
      </c>
      <c r="AA14" s="169">
        <v>0</v>
      </c>
      <c r="AB14" s="169">
        <v>0</v>
      </c>
      <c r="AC14" s="169">
        <v>0</v>
      </c>
      <c r="AD14" s="169">
        <v>44097429312.673698</v>
      </c>
      <c r="AE14" s="169">
        <v>62137693481.503593</v>
      </c>
      <c r="AF14" s="169">
        <v>41592334172.569237</v>
      </c>
      <c r="AG14" s="169">
        <v>0</v>
      </c>
      <c r="AH14" s="169">
        <v>0</v>
      </c>
      <c r="AI14" s="169">
        <v>0</v>
      </c>
      <c r="AJ14" s="169"/>
      <c r="AK14" s="169">
        <v>0</v>
      </c>
      <c r="AL14" s="169">
        <v>0</v>
      </c>
      <c r="AM14" s="169">
        <v>147827456966.74652</v>
      </c>
      <c r="AN14" s="169">
        <v>0</v>
      </c>
      <c r="AO14" s="160">
        <v>1.1150654340388844</v>
      </c>
      <c r="AP14" s="169">
        <v>156165531543</v>
      </c>
      <c r="AQ14" s="169"/>
      <c r="AR14" s="169"/>
      <c r="AS14" s="169"/>
      <c r="AT14" s="169"/>
      <c r="AU14" s="169"/>
      <c r="AV14" s="169"/>
      <c r="AW14" s="169">
        <v>29493907136</v>
      </c>
      <c r="AX14" s="229">
        <v>58901884908</v>
      </c>
      <c r="AY14" s="229">
        <v>67759058299</v>
      </c>
      <c r="AZ14" s="169">
        <v>10681200</v>
      </c>
      <c r="BA14" s="169"/>
      <c r="BB14" s="169"/>
      <c r="BC14" s="169">
        <v>0</v>
      </c>
      <c r="BD14" s="169">
        <v>0</v>
      </c>
      <c r="BE14" s="169">
        <v>156154850343</v>
      </c>
      <c r="BF14" s="169">
        <v>10681200</v>
      </c>
      <c r="BG14" s="297">
        <v>160056674405</v>
      </c>
      <c r="BH14" s="260">
        <v>0</v>
      </c>
      <c r="BI14" s="261">
        <v>0</v>
      </c>
      <c r="BJ14" s="261">
        <v>0</v>
      </c>
      <c r="BK14" s="260">
        <v>0</v>
      </c>
      <c r="BL14" s="262">
        <v>0</v>
      </c>
      <c r="BM14" s="262">
        <v>0</v>
      </c>
      <c r="BN14" s="260">
        <v>34944103517</v>
      </c>
      <c r="BO14" s="263">
        <v>67223803250</v>
      </c>
      <c r="BP14" s="263">
        <v>57888767638</v>
      </c>
      <c r="BQ14" s="262">
        <v>0</v>
      </c>
      <c r="BR14" s="261">
        <v>0</v>
      </c>
      <c r="BS14" s="265">
        <v>0</v>
      </c>
      <c r="BT14" s="169">
        <v>0</v>
      </c>
      <c r="BU14" s="169">
        <v>0</v>
      </c>
      <c r="BV14" s="169">
        <v>160056674405</v>
      </c>
      <c r="BW14" s="169">
        <v>0</v>
      </c>
      <c r="BX14" s="154">
        <v>0</v>
      </c>
      <c r="BY14" s="260"/>
      <c r="BZ14" s="261"/>
      <c r="CA14" s="261"/>
      <c r="CB14" s="260"/>
      <c r="CC14" s="262"/>
      <c r="CD14" s="262"/>
      <c r="CE14" s="260"/>
      <c r="CF14" s="263"/>
      <c r="CG14" s="263"/>
      <c r="CH14" s="264"/>
      <c r="CI14" s="261"/>
      <c r="CJ14" s="265"/>
      <c r="CK14" s="172"/>
      <c r="CL14" s="166"/>
      <c r="CM14" s="176"/>
      <c r="CN14" s="177"/>
      <c r="CO14" s="156">
        <f t="shared" si="1"/>
        <v>3891142862</v>
      </c>
      <c r="CP14" s="291">
        <f t="shared" si="2"/>
        <v>2.4916784283659791E-2</v>
      </c>
      <c r="CQ14" s="291">
        <f t="shared" si="3"/>
        <v>1.1779596956137832</v>
      </c>
      <c r="CR14" s="291">
        <f t="shared" si="4"/>
        <v>1.0249167842836597</v>
      </c>
    </row>
    <row r="15" spans="1:106" s="161" customFormat="1" ht="15.5" hidden="1" outlineLevel="1">
      <c r="A15" s="150" t="str">
        <f t="shared" si="0"/>
        <v>in</v>
      </c>
      <c r="B15" s="150"/>
      <c r="C15" s="157" t="s">
        <v>156</v>
      </c>
      <c r="D15" s="166">
        <v>846947640</v>
      </c>
      <c r="E15" s="166">
        <v>0</v>
      </c>
      <c r="F15" s="159">
        <v>0</v>
      </c>
      <c r="G15" s="159">
        <v>0</v>
      </c>
      <c r="H15" s="159">
        <v>0</v>
      </c>
      <c r="I15" s="159">
        <v>0</v>
      </c>
      <c r="J15" s="159">
        <v>0</v>
      </c>
      <c r="K15" s="159">
        <v>0</v>
      </c>
      <c r="L15" s="159">
        <v>0</v>
      </c>
      <c r="M15" s="159">
        <v>0</v>
      </c>
      <c r="N15" s="159">
        <v>0</v>
      </c>
      <c r="O15" s="159">
        <v>0</v>
      </c>
      <c r="P15" s="159">
        <v>0</v>
      </c>
      <c r="Q15" s="159">
        <v>846947640</v>
      </c>
      <c r="R15" s="159">
        <v>0</v>
      </c>
      <c r="S15" s="159">
        <v>0</v>
      </c>
      <c r="T15" s="159">
        <v>0</v>
      </c>
      <c r="U15" s="159">
        <v>846947640</v>
      </c>
      <c r="V15" s="159">
        <v>6693890507</v>
      </c>
      <c r="W15" s="159">
        <v>6693890507</v>
      </c>
      <c r="X15" s="159">
        <v>6508273987</v>
      </c>
      <c r="Y15" s="159">
        <v>185616520</v>
      </c>
      <c r="Z15" s="159">
        <v>0</v>
      </c>
      <c r="AA15" s="159">
        <v>0</v>
      </c>
      <c r="AB15" s="159">
        <v>0</v>
      </c>
      <c r="AC15" s="159">
        <v>0</v>
      </c>
      <c r="AD15" s="159">
        <v>0</v>
      </c>
      <c r="AE15" s="159">
        <v>0</v>
      </c>
      <c r="AF15" s="159">
        <v>0</v>
      </c>
      <c r="AG15" s="159">
        <v>0</v>
      </c>
      <c r="AH15" s="159">
        <v>0</v>
      </c>
      <c r="AI15" s="159">
        <v>0</v>
      </c>
      <c r="AJ15" s="159"/>
      <c r="AK15" s="159">
        <v>6693890507</v>
      </c>
      <c r="AL15" s="159">
        <v>0</v>
      </c>
      <c r="AM15" s="159">
        <v>0</v>
      </c>
      <c r="AN15" s="159">
        <v>0</v>
      </c>
      <c r="AO15" s="160">
        <v>7.9035470327303825</v>
      </c>
      <c r="AP15" s="159">
        <v>6693890507</v>
      </c>
      <c r="AQ15" s="159">
        <v>6508273987</v>
      </c>
      <c r="AR15" s="159">
        <v>185616520</v>
      </c>
      <c r="AS15" s="159">
        <v>0</v>
      </c>
      <c r="AT15" s="159">
        <v>0</v>
      </c>
      <c r="AU15" s="159">
        <v>0</v>
      </c>
      <c r="AV15" s="159">
        <v>0</v>
      </c>
      <c r="AW15" s="159">
        <v>0</v>
      </c>
      <c r="AX15" s="159">
        <v>0</v>
      </c>
      <c r="AY15" s="159">
        <v>0</v>
      </c>
      <c r="AZ15" s="159">
        <v>0</v>
      </c>
      <c r="BA15" s="159">
        <v>0</v>
      </c>
      <c r="BB15" s="159">
        <v>0</v>
      </c>
      <c r="BC15" s="159">
        <v>6693890507</v>
      </c>
      <c r="BD15" s="159">
        <v>0</v>
      </c>
      <c r="BE15" s="159">
        <v>0</v>
      </c>
      <c r="BF15" s="159">
        <v>0</v>
      </c>
      <c r="BG15" s="297">
        <v>3960646296</v>
      </c>
      <c r="BH15" s="260">
        <v>0</v>
      </c>
      <c r="BI15" s="261">
        <v>3960646296</v>
      </c>
      <c r="BJ15" s="261">
        <v>0</v>
      </c>
      <c r="BK15" s="260">
        <v>0</v>
      </c>
      <c r="BL15" s="262">
        <v>0</v>
      </c>
      <c r="BM15" s="262">
        <v>0</v>
      </c>
      <c r="BN15" s="260">
        <v>0</v>
      </c>
      <c r="BO15" s="263">
        <v>0</v>
      </c>
      <c r="BP15" s="263">
        <v>0</v>
      </c>
      <c r="BQ15" s="260">
        <v>0</v>
      </c>
      <c r="BR15" s="261">
        <v>0</v>
      </c>
      <c r="BS15" s="265">
        <v>0</v>
      </c>
      <c r="BT15" s="159">
        <v>3960646296</v>
      </c>
      <c r="BU15" s="159">
        <v>0</v>
      </c>
      <c r="BV15" s="159">
        <v>0</v>
      </c>
      <c r="BW15" s="159">
        <v>0</v>
      </c>
      <c r="BX15" s="154">
        <v>0</v>
      </c>
      <c r="BY15" s="260">
        <v>0</v>
      </c>
      <c r="BZ15" s="261"/>
      <c r="CA15" s="261"/>
      <c r="CB15" s="260"/>
      <c r="CC15" s="262"/>
      <c r="CD15" s="262"/>
      <c r="CE15" s="260"/>
      <c r="CF15" s="263"/>
      <c r="CG15" s="263"/>
      <c r="CH15" s="264"/>
      <c r="CI15" s="261"/>
      <c r="CJ15" s="265"/>
      <c r="CK15" s="172">
        <v>0</v>
      </c>
      <c r="CL15" s="166"/>
      <c r="CM15" s="176"/>
      <c r="CN15" s="177"/>
      <c r="CO15" s="156">
        <f t="shared" si="1"/>
        <v>-2733244211</v>
      </c>
      <c r="CP15" s="291">
        <f t="shared" si="2"/>
        <v>-0.40831922902559659</v>
      </c>
      <c r="CQ15" s="291">
        <f t="shared" si="3"/>
        <v>7.9035470327303825</v>
      </c>
      <c r="CR15" s="291">
        <f t="shared" si="4"/>
        <v>0.59168077097440341</v>
      </c>
    </row>
    <row r="16" spans="1:106" s="173" customFormat="1" ht="18" hidden="1" customHeight="1" outlineLevel="1">
      <c r="A16" s="150" t="str">
        <f t="shared" si="0"/>
        <v>in</v>
      </c>
      <c r="B16" s="171"/>
      <c r="C16" s="168" t="s">
        <v>157</v>
      </c>
      <c r="D16" s="172">
        <v>846947640</v>
      </c>
      <c r="E16" s="172">
        <v>0</v>
      </c>
      <c r="F16" s="172">
        <v>0</v>
      </c>
      <c r="G16" s="172">
        <v>0</v>
      </c>
      <c r="H16" s="172">
        <v>0</v>
      </c>
      <c r="I16" s="172">
        <v>0</v>
      </c>
      <c r="J16" s="172">
        <v>0</v>
      </c>
      <c r="K16" s="172">
        <v>0</v>
      </c>
      <c r="L16" s="172">
        <v>0</v>
      </c>
      <c r="M16" s="172">
        <v>0</v>
      </c>
      <c r="N16" s="172">
        <v>0</v>
      </c>
      <c r="O16" s="172">
        <v>0</v>
      </c>
      <c r="P16" s="172">
        <v>0</v>
      </c>
      <c r="Q16" s="172">
        <v>846947640</v>
      </c>
      <c r="R16" s="172">
        <v>0</v>
      </c>
      <c r="S16" s="172">
        <v>0</v>
      </c>
      <c r="T16" s="172">
        <v>0</v>
      </c>
      <c r="U16" s="172">
        <v>846947640</v>
      </c>
      <c r="V16" s="172">
        <v>3246143200</v>
      </c>
      <c r="W16" s="172">
        <v>3246143200</v>
      </c>
      <c r="X16" s="172">
        <v>3088804480</v>
      </c>
      <c r="Y16" s="172">
        <v>157338720</v>
      </c>
      <c r="Z16" s="172">
        <v>0</v>
      </c>
      <c r="AA16" s="172">
        <v>0</v>
      </c>
      <c r="AB16" s="172">
        <v>0</v>
      </c>
      <c r="AC16" s="172">
        <v>0</v>
      </c>
      <c r="AD16" s="172">
        <v>0</v>
      </c>
      <c r="AE16" s="172">
        <v>0</v>
      </c>
      <c r="AF16" s="172">
        <v>0</v>
      </c>
      <c r="AG16" s="172">
        <v>0</v>
      </c>
      <c r="AH16" s="172">
        <v>0</v>
      </c>
      <c r="AI16" s="172">
        <v>0</v>
      </c>
      <c r="AJ16" s="172"/>
      <c r="AK16" s="172">
        <v>3246143200</v>
      </c>
      <c r="AL16" s="172">
        <v>0</v>
      </c>
      <c r="AM16" s="172">
        <v>0</v>
      </c>
      <c r="AN16" s="172">
        <v>0</v>
      </c>
      <c r="AO16" s="160">
        <v>3.8327554699839532</v>
      </c>
      <c r="AP16" s="172">
        <v>3246143200</v>
      </c>
      <c r="AQ16" s="172">
        <v>3088804480</v>
      </c>
      <c r="AR16" s="172">
        <v>157338720</v>
      </c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>
        <v>3246143200</v>
      </c>
      <c r="BD16" s="172">
        <v>0</v>
      </c>
      <c r="BE16" s="172">
        <v>0</v>
      </c>
      <c r="BF16" s="172">
        <v>0</v>
      </c>
      <c r="BG16" s="297">
        <v>0</v>
      </c>
      <c r="BH16" s="260"/>
      <c r="BI16" s="261"/>
      <c r="BJ16" s="261"/>
      <c r="BK16" s="260"/>
      <c r="BL16" s="262"/>
      <c r="BM16" s="262"/>
      <c r="BN16" s="260"/>
      <c r="BO16" s="263"/>
      <c r="BP16" s="263"/>
      <c r="BQ16" s="263"/>
      <c r="BR16" s="261"/>
      <c r="BS16" s="265"/>
      <c r="BT16" s="172">
        <v>0</v>
      </c>
      <c r="BU16" s="172">
        <v>0</v>
      </c>
      <c r="BV16" s="172">
        <v>0</v>
      </c>
      <c r="BW16" s="172">
        <v>0</v>
      </c>
      <c r="BX16" s="154">
        <v>0</v>
      </c>
      <c r="BY16" s="260"/>
      <c r="BZ16" s="261"/>
      <c r="CA16" s="261"/>
      <c r="CB16" s="260"/>
      <c r="CC16" s="262"/>
      <c r="CD16" s="262"/>
      <c r="CE16" s="260"/>
      <c r="CF16" s="263"/>
      <c r="CG16" s="263"/>
      <c r="CH16" s="264"/>
      <c r="CI16" s="261"/>
      <c r="CJ16" s="265"/>
      <c r="CK16" s="172"/>
      <c r="CL16" s="166"/>
      <c r="CM16" s="176"/>
      <c r="CN16" s="177"/>
      <c r="CO16" s="156">
        <f t="shared" si="1"/>
        <v>-3246143200</v>
      </c>
      <c r="CP16" s="291">
        <f t="shared" si="2"/>
        <v>-1</v>
      </c>
      <c r="CQ16" s="291">
        <f t="shared" si="3"/>
        <v>3.8327554699839532</v>
      </c>
      <c r="CR16" s="291">
        <f t="shared" si="4"/>
        <v>0</v>
      </c>
    </row>
    <row r="17" spans="1:96" s="173" customFormat="1" ht="18" hidden="1" customHeight="1" outlineLevel="1">
      <c r="A17" s="150" t="str">
        <f t="shared" si="0"/>
        <v>in</v>
      </c>
      <c r="B17" s="171"/>
      <c r="C17" s="168" t="s">
        <v>158</v>
      </c>
      <c r="D17" s="172">
        <v>0</v>
      </c>
      <c r="E17" s="172">
        <v>0</v>
      </c>
      <c r="F17" s="172">
        <v>0</v>
      </c>
      <c r="G17" s="172">
        <v>0</v>
      </c>
      <c r="H17" s="172">
        <v>0</v>
      </c>
      <c r="I17" s="172">
        <v>0</v>
      </c>
      <c r="J17" s="172">
        <v>0</v>
      </c>
      <c r="K17" s="172">
        <v>0</v>
      </c>
      <c r="L17" s="172">
        <v>0</v>
      </c>
      <c r="M17" s="172">
        <v>0</v>
      </c>
      <c r="N17" s="172">
        <v>0</v>
      </c>
      <c r="O17" s="172">
        <v>0</v>
      </c>
      <c r="P17" s="172">
        <v>0</v>
      </c>
      <c r="Q17" s="172">
        <v>0</v>
      </c>
      <c r="R17" s="172">
        <v>0</v>
      </c>
      <c r="S17" s="172">
        <v>0</v>
      </c>
      <c r="T17" s="172">
        <v>0</v>
      </c>
      <c r="U17" s="172">
        <v>0</v>
      </c>
      <c r="V17" s="172">
        <v>3447747307</v>
      </c>
      <c r="W17" s="172">
        <v>3447747307</v>
      </c>
      <c r="X17" s="172">
        <v>3419469507</v>
      </c>
      <c r="Y17" s="172">
        <v>28277800</v>
      </c>
      <c r="Z17" s="172">
        <v>0</v>
      </c>
      <c r="AA17" s="172">
        <v>0</v>
      </c>
      <c r="AB17" s="172">
        <v>0</v>
      </c>
      <c r="AC17" s="172">
        <v>0</v>
      </c>
      <c r="AD17" s="172">
        <v>0</v>
      </c>
      <c r="AE17" s="172">
        <v>0</v>
      </c>
      <c r="AF17" s="172">
        <v>0</v>
      </c>
      <c r="AG17" s="172">
        <v>0</v>
      </c>
      <c r="AH17" s="172">
        <v>0</v>
      </c>
      <c r="AI17" s="172">
        <v>0</v>
      </c>
      <c r="AJ17" s="172"/>
      <c r="AK17" s="172">
        <v>3447747307</v>
      </c>
      <c r="AL17" s="172">
        <v>0</v>
      </c>
      <c r="AM17" s="172">
        <v>0</v>
      </c>
      <c r="AN17" s="172">
        <v>0</v>
      </c>
      <c r="AO17" s="160"/>
      <c r="AP17" s="172">
        <v>3447747307</v>
      </c>
      <c r="AQ17" s="172">
        <v>3419469507</v>
      </c>
      <c r="AR17" s="172">
        <v>28277800</v>
      </c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>
        <v>3447747307</v>
      </c>
      <c r="BD17" s="172">
        <v>0</v>
      </c>
      <c r="BE17" s="172">
        <v>0</v>
      </c>
      <c r="BF17" s="172">
        <v>0</v>
      </c>
      <c r="BG17" s="297">
        <v>3960646296</v>
      </c>
      <c r="BH17" s="260">
        <v>0</v>
      </c>
      <c r="BI17" s="261">
        <v>3960646296</v>
      </c>
      <c r="BJ17" s="261">
        <v>0</v>
      </c>
      <c r="BK17" s="260">
        <v>0</v>
      </c>
      <c r="BL17" s="262">
        <v>0</v>
      </c>
      <c r="BM17" s="262">
        <v>0</v>
      </c>
      <c r="BN17" s="260">
        <v>0</v>
      </c>
      <c r="BO17" s="263">
        <v>0</v>
      </c>
      <c r="BP17" s="263">
        <v>0</v>
      </c>
      <c r="BQ17" s="263">
        <v>0</v>
      </c>
      <c r="BR17" s="261">
        <v>0</v>
      </c>
      <c r="BS17" s="265">
        <v>0</v>
      </c>
      <c r="BT17" s="172">
        <v>3960646296</v>
      </c>
      <c r="BU17" s="172">
        <v>0</v>
      </c>
      <c r="BV17" s="172">
        <v>0</v>
      </c>
      <c r="BW17" s="172">
        <v>0</v>
      </c>
      <c r="BX17" s="154">
        <v>0</v>
      </c>
      <c r="BY17" s="260">
        <v>0</v>
      </c>
      <c r="BZ17" s="261"/>
      <c r="CA17" s="261"/>
      <c r="CB17" s="260"/>
      <c r="CC17" s="262"/>
      <c r="CD17" s="262"/>
      <c r="CE17" s="260"/>
      <c r="CF17" s="263"/>
      <c r="CG17" s="263"/>
      <c r="CH17" s="264"/>
      <c r="CI17" s="261"/>
      <c r="CJ17" s="265"/>
      <c r="CK17" s="172">
        <v>0</v>
      </c>
      <c r="CL17" s="166"/>
      <c r="CM17" s="176"/>
      <c r="CN17" s="177"/>
      <c r="CO17" s="156">
        <f t="shared" si="1"/>
        <v>512898989</v>
      </c>
      <c r="CP17" s="291">
        <f t="shared" si="2"/>
        <v>0.14876350942502528</v>
      </c>
      <c r="CQ17" s="291" t="e">
        <f t="shared" si="3"/>
        <v>#DIV/0!</v>
      </c>
      <c r="CR17" s="291">
        <f t="shared" si="4"/>
        <v>1.1487635094250253</v>
      </c>
    </row>
    <row r="18" spans="1:96" s="161" customFormat="1" ht="18" hidden="1" customHeight="1" outlineLevel="1">
      <c r="A18" s="150" t="str">
        <f t="shared" si="0"/>
        <v>in</v>
      </c>
      <c r="B18" s="150"/>
      <c r="C18" s="157" t="s">
        <v>159</v>
      </c>
      <c r="D18" s="166">
        <v>127907224</v>
      </c>
      <c r="E18" s="166">
        <v>0</v>
      </c>
      <c r="F18" s="166">
        <v>0</v>
      </c>
      <c r="G18" s="166">
        <v>0</v>
      </c>
      <c r="H18" s="166">
        <v>0</v>
      </c>
      <c r="I18" s="166">
        <v>0</v>
      </c>
      <c r="J18" s="166">
        <v>0</v>
      </c>
      <c r="K18" s="166">
        <v>33227272</v>
      </c>
      <c r="L18" s="166">
        <v>20000000</v>
      </c>
      <c r="M18" s="166">
        <v>0</v>
      </c>
      <c r="N18" s="166">
        <v>17814772</v>
      </c>
      <c r="O18" s="166">
        <v>0</v>
      </c>
      <c r="P18" s="166">
        <v>10000000</v>
      </c>
      <c r="Q18" s="166">
        <v>46865180</v>
      </c>
      <c r="R18" s="166">
        <v>0</v>
      </c>
      <c r="S18" s="166">
        <v>33227272</v>
      </c>
      <c r="T18" s="166">
        <v>37814772</v>
      </c>
      <c r="U18" s="166">
        <v>56865180</v>
      </c>
      <c r="V18" s="166">
        <v>222209597.01818183</v>
      </c>
      <c r="W18" s="166">
        <v>222209597.01818183</v>
      </c>
      <c r="X18" s="166">
        <v>0</v>
      </c>
      <c r="Y18" s="166">
        <v>0</v>
      </c>
      <c r="Z18" s="166">
        <v>96882464</v>
      </c>
      <c r="AA18" s="166">
        <v>0</v>
      </c>
      <c r="AB18" s="166">
        <v>0</v>
      </c>
      <c r="AC18" s="166">
        <v>41897453.090909101</v>
      </c>
      <c r="AD18" s="166">
        <v>0</v>
      </c>
      <c r="AE18" s="166">
        <v>0</v>
      </c>
      <c r="AF18" s="166">
        <v>43843045.454545453</v>
      </c>
      <c r="AG18" s="166">
        <v>0</v>
      </c>
      <c r="AH18" s="166">
        <v>0</v>
      </c>
      <c r="AI18" s="166">
        <v>39586634.472727269</v>
      </c>
      <c r="AJ18" s="166"/>
      <c r="AK18" s="166">
        <v>96882464</v>
      </c>
      <c r="AL18" s="166">
        <v>41897453.090909101</v>
      </c>
      <c r="AM18" s="166">
        <v>43843045.454545453</v>
      </c>
      <c r="AN18" s="166">
        <v>39586634.472727269</v>
      </c>
      <c r="AO18" s="160">
        <v>1.7372716729289803</v>
      </c>
      <c r="AP18" s="166">
        <v>613915665</v>
      </c>
      <c r="AQ18" s="166">
        <v>0</v>
      </c>
      <c r="AR18" s="166">
        <v>0</v>
      </c>
      <c r="AS18" s="166">
        <v>96882464</v>
      </c>
      <c r="AT18" s="166">
        <v>40000000</v>
      </c>
      <c r="AU18" s="166">
        <v>30000000</v>
      </c>
      <c r="AV18" s="166">
        <v>181015513</v>
      </c>
      <c r="AW18" s="166">
        <v>20000000</v>
      </c>
      <c r="AX18" s="166">
        <v>20000000</v>
      </c>
      <c r="AY18" s="166">
        <v>114196206</v>
      </c>
      <c r="AZ18" s="166">
        <v>10000000</v>
      </c>
      <c r="BA18" s="166">
        <v>0</v>
      </c>
      <c r="BB18" s="166">
        <v>101821482</v>
      </c>
      <c r="BC18" s="166">
        <v>96882464</v>
      </c>
      <c r="BD18" s="166">
        <v>251015513</v>
      </c>
      <c r="BE18" s="166">
        <v>154196206</v>
      </c>
      <c r="BF18" s="166">
        <v>111821482</v>
      </c>
      <c r="BG18" s="297">
        <v>548586726</v>
      </c>
      <c r="BH18" s="260">
        <v>10000000</v>
      </c>
      <c r="BI18" s="261">
        <v>10000000</v>
      </c>
      <c r="BJ18" s="261">
        <v>82570710</v>
      </c>
      <c r="BK18" s="260">
        <v>20000000</v>
      </c>
      <c r="BL18" s="262">
        <v>10000000</v>
      </c>
      <c r="BM18" s="262">
        <v>130117064</v>
      </c>
      <c r="BN18" s="260">
        <v>30000000</v>
      </c>
      <c r="BO18" s="263">
        <v>20000000</v>
      </c>
      <c r="BP18" s="263">
        <v>109486396</v>
      </c>
      <c r="BQ18" s="264">
        <v>10000000</v>
      </c>
      <c r="BR18" s="261">
        <v>10000000</v>
      </c>
      <c r="BS18" s="265">
        <v>106412556</v>
      </c>
      <c r="BT18" s="166">
        <v>102570710</v>
      </c>
      <c r="BU18" s="166">
        <v>160117064</v>
      </c>
      <c r="BV18" s="166">
        <v>159486396</v>
      </c>
      <c r="BW18" s="166">
        <v>126412556</v>
      </c>
      <c r="BX18" s="154">
        <v>0</v>
      </c>
      <c r="BY18" s="260">
        <v>0</v>
      </c>
      <c r="BZ18" s="261"/>
      <c r="CA18" s="261"/>
      <c r="CB18" s="260"/>
      <c r="CC18" s="262"/>
      <c r="CD18" s="262"/>
      <c r="CE18" s="260"/>
      <c r="CF18" s="263"/>
      <c r="CG18" s="263"/>
      <c r="CH18" s="264"/>
      <c r="CI18" s="261"/>
      <c r="CJ18" s="265"/>
      <c r="CK18" s="172">
        <v>0</v>
      </c>
      <c r="CL18" s="166"/>
      <c r="CM18" s="176"/>
      <c r="CN18" s="177"/>
      <c r="CO18" s="156">
        <f t="shared" si="1"/>
        <v>-65328939</v>
      </c>
      <c r="CP18" s="291">
        <f t="shared" si="2"/>
        <v>-0.10641353971640388</v>
      </c>
      <c r="CQ18" s="291">
        <f t="shared" si="3"/>
        <v>4.7996950117532062</v>
      </c>
      <c r="CR18" s="291">
        <f t="shared" si="4"/>
        <v>0.89358646028359612</v>
      </c>
    </row>
    <row r="19" spans="1:96" s="165" customFormat="1" ht="18" hidden="1" customHeight="1" outlineLevel="2">
      <c r="A19" s="150" t="str">
        <f t="shared" si="0"/>
        <v>ẩn</v>
      </c>
      <c r="B19" s="162"/>
      <c r="C19" s="163" t="s">
        <v>160</v>
      </c>
      <c r="D19" s="164">
        <v>0</v>
      </c>
      <c r="E19" s="164">
        <v>0</v>
      </c>
      <c r="F19" s="164">
        <v>0</v>
      </c>
      <c r="G19" s="164">
        <v>0</v>
      </c>
      <c r="H19" s="164">
        <v>0</v>
      </c>
      <c r="I19" s="164">
        <v>0</v>
      </c>
      <c r="J19" s="164">
        <v>0</v>
      </c>
      <c r="K19" s="164">
        <v>0</v>
      </c>
      <c r="L19" s="174">
        <v>0</v>
      </c>
      <c r="M19" s="164">
        <v>0</v>
      </c>
      <c r="N19" s="164">
        <v>0</v>
      </c>
      <c r="O19" s="164">
        <v>0</v>
      </c>
      <c r="P19" s="164"/>
      <c r="Q19" s="164"/>
      <c r="R19" s="164">
        <v>0</v>
      </c>
      <c r="S19" s="164">
        <v>0</v>
      </c>
      <c r="T19" s="164">
        <v>0</v>
      </c>
      <c r="U19" s="164">
        <v>0</v>
      </c>
      <c r="V19" s="164">
        <v>0</v>
      </c>
      <c r="W19" s="164">
        <v>0</v>
      </c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>
        <v>0</v>
      </c>
      <c r="AL19" s="164">
        <v>0</v>
      </c>
      <c r="AM19" s="164">
        <v>0</v>
      </c>
      <c r="AN19" s="164">
        <v>0</v>
      </c>
      <c r="AO19" s="160"/>
      <c r="AP19" s="164">
        <v>0</v>
      </c>
      <c r="AQ19" s="164">
        <v>0</v>
      </c>
      <c r="AR19" s="164">
        <v>0</v>
      </c>
      <c r="AS19" s="164">
        <v>0</v>
      </c>
      <c r="AT19" s="164">
        <v>0</v>
      </c>
      <c r="AU19" s="164">
        <v>0</v>
      </c>
      <c r="AV19" s="164">
        <v>0</v>
      </c>
      <c r="AW19" s="164">
        <v>0</v>
      </c>
      <c r="AX19" s="164">
        <v>0</v>
      </c>
      <c r="AY19" s="164">
        <v>0</v>
      </c>
      <c r="AZ19" s="164">
        <v>0</v>
      </c>
      <c r="BA19" s="164">
        <v>0</v>
      </c>
      <c r="BB19" s="164">
        <v>0</v>
      </c>
      <c r="BC19" s="164">
        <v>0</v>
      </c>
      <c r="BD19" s="164">
        <v>0</v>
      </c>
      <c r="BE19" s="164">
        <v>0</v>
      </c>
      <c r="BF19" s="164">
        <v>0</v>
      </c>
      <c r="BG19" s="297">
        <v>0</v>
      </c>
      <c r="BH19" s="260">
        <v>0</v>
      </c>
      <c r="BI19" s="261">
        <v>0</v>
      </c>
      <c r="BJ19" s="261">
        <v>0</v>
      </c>
      <c r="BK19" s="260">
        <v>0</v>
      </c>
      <c r="BL19" s="262">
        <v>0</v>
      </c>
      <c r="BM19" s="262">
        <v>0</v>
      </c>
      <c r="BN19" s="260">
        <v>0</v>
      </c>
      <c r="BO19" s="263">
        <v>0</v>
      </c>
      <c r="BP19" s="263">
        <v>0</v>
      </c>
      <c r="BQ19" s="261">
        <v>0</v>
      </c>
      <c r="BR19" s="261">
        <v>0</v>
      </c>
      <c r="BS19" s="265">
        <v>0</v>
      </c>
      <c r="BT19" s="164">
        <v>0</v>
      </c>
      <c r="BU19" s="164">
        <v>0</v>
      </c>
      <c r="BV19" s="164">
        <v>0</v>
      </c>
      <c r="BW19" s="164">
        <v>0</v>
      </c>
      <c r="BX19" s="154">
        <v>0</v>
      </c>
      <c r="BY19" s="260">
        <v>0</v>
      </c>
      <c r="BZ19" s="261"/>
      <c r="CA19" s="261"/>
      <c r="CB19" s="260"/>
      <c r="CC19" s="262"/>
      <c r="CD19" s="262"/>
      <c r="CE19" s="260"/>
      <c r="CF19" s="263"/>
      <c r="CG19" s="263"/>
      <c r="CH19" s="264"/>
      <c r="CI19" s="261"/>
      <c r="CJ19" s="265"/>
      <c r="CK19" s="172">
        <v>0</v>
      </c>
      <c r="CL19" s="166"/>
      <c r="CM19" s="176"/>
      <c r="CN19" s="177"/>
      <c r="CO19" s="156">
        <f t="shared" si="1"/>
        <v>0</v>
      </c>
      <c r="CP19" s="291" t="str">
        <f t="shared" si="2"/>
        <v/>
      </c>
      <c r="CQ19" s="291" t="e">
        <f t="shared" si="3"/>
        <v>#DIV/0!</v>
      </c>
      <c r="CR19" s="291" t="e">
        <f t="shared" si="4"/>
        <v>#DIV/0!</v>
      </c>
    </row>
    <row r="20" spans="1:96" s="165" customFormat="1" ht="18" hidden="1" customHeight="1" outlineLevel="2">
      <c r="A20" s="150" t="str">
        <f t="shared" si="0"/>
        <v>in</v>
      </c>
      <c r="B20" s="162"/>
      <c r="C20" s="163" t="s">
        <v>161</v>
      </c>
      <c r="D20" s="164">
        <v>70000000</v>
      </c>
      <c r="E20" s="164">
        <v>0</v>
      </c>
      <c r="F20" s="164">
        <v>0</v>
      </c>
      <c r="G20" s="164"/>
      <c r="H20" s="164"/>
      <c r="I20" s="164"/>
      <c r="J20" s="164"/>
      <c r="K20" s="164">
        <v>20000000</v>
      </c>
      <c r="L20" s="174">
        <v>20000000</v>
      </c>
      <c r="M20" s="164"/>
      <c r="N20" s="164"/>
      <c r="O20" s="164"/>
      <c r="P20" s="164">
        <v>10000000</v>
      </c>
      <c r="Q20" s="164">
        <v>20000000</v>
      </c>
      <c r="R20" s="164">
        <v>0</v>
      </c>
      <c r="S20" s="164">
        <v>20000000</v>
      </c>
      <c r="T20" s="164">
        <v>20000000</v>
      </c>
      <c r="U20" s="164">
        <v>30000000</v>
      </c>
      <c r="V20" s="164">
        <v>80000000</v>
      </c>
      <c r="W20" s="164">
        <v>80000000</v>
      </c>
      <c r="X20" s="164">
        <v>0</v>
      </c>
      <c r="Y20" s="164">
        <v>0</v>
      </c>
      <c r="Z20" s="164">
        <v>40000000</v>
      </c>
      <c r="AA20" s="164">
        <v>0</v>
      </c>
      <c r="AB20" s="164">
        <v>0</v>
      </c>
      <c r="AC20" s="164">
        <v>10000000</v>
      </c>
      <c r="AD20" s="164">
        <v>0</v>
      </c>
      <c r="AE20" s="164">
        <v>0</v>
      </c>
      <c r="AF20" s="164">
        <v>20000000</v>
      </c>
      <c r="AG20" s="164">
        <v>0</v>
      </c>
      <c r="AH20" s="164">
        <v>0</v>
      </c>
      <c r="AI20" s="164">
        <v>10000000</v>
      </c>
      <c r="AJ20" s="164"/>
      <c r="AK20" s="164">
        <v>40000000</v>
      </c>
      <c r="AL20" s="164">
        <v>10000000</v>
      </c>
      <c r="AM20" s="164">
        <v>20000000</v>
      </c>
      <c r="AN20" s="164">
        <v>10000000</v>
      </c>
      <c r="AO20" s="160">
        <v>1.1428571428571428</v>
      </c>
      <c r="AP20" s="164">
        <v>280000000</v>
      </c>
      <c r="AQ20" s="175">
        <v>0</v>
      </c>
      <c r="AR20" s="175">
        <v>0</v>
      </c>
      <c r="AS20" s="175">
        <v>40000000</v>
      </c>
      <c r="AT20" s="175">
        <v>40000000</v>
      </c>
      <c r="AU20" s="175">
        <v>30000000</v>
      </c>
      <c r="AV20" s="175">
        <v>90000000</v>
      </c>
      <c r="AW20" s="175">
        <v>20000000</v>
      </c>
      <c r="AX20" s="175">
        <v>20000000</v>
      </c>
      <c r="AY20" s="175">
        <v>20000000</v>
      </c>
      <c r="AZ20" s="175">
        <v>10000000</v>
      </c>
      <c r="BA20" s="175">
        <v>0</v>
      </c>
      <c r="BB20" s="175">
        <v>10000000</v>
      </c>
      <c r="BC20" s="164">
        <v>40000000</v>
      </c>
      <c r="BD20" s="164">
        <v>160000000</v>
      </c>
      <c r="BE20" s="164">
        <v>60000000</v>
      </c>
      <c r="BF20" s="164">
        <v>20000000</v>
      </c>
      <c r="BG20" s="297">
        <v>200000000</v>
      </c>
      <c r="BH20" s="260">
        <v>10000000</v>
      </c>
      <c r="BI20" s="261">
        <v>10000000</v>
      </c>
      <c r="BJ20" s="261">
        <v>20000000</v>
      </c>
      <c r="BK20" s="260">
        <v>20000000</v>
      </c>
      <c r="BL20" s="262">
        <v>10000000</v>
      </c>
      <c r="BM20" s="262">
        <v>30000000</v>
      </c>
      <c r="BN20" s="260">
        <v>30000000</v>
      </c>
      <c r="BO20" s="263">
        <v>20000000</v>
      </c>
      <c r="BP20" s="263">
        <v>20000000</v>
      </c>
      <c r="BQ20" s="265">
        <v>10000000</v>
      </c>
      <c r="BR20" s="261">
        <v>10000000</v>
      </c>
      <c r="BS20" s="265">
        <v>10000000</v>
      </c>
      <c r="BT20" s="164">
        <v>40000000</v>
      </c>
      <c r="BU20" s="164">
        <v>60000000</v>
      </c>
      <c r="BV20" s="164">
        <v>70000000</v>
      </c>
      <c r="BW20" s="164">
        <v>30000000</v>
      </c>
      <c r="BX20" s="154">
        <v>0</v>
      </c>
      <c r="BY20" s="260">
        <v>0</v>
      </c>
      <c r="BZ20" s="261"/>
      <c r="CA20" s="261"/>
      <c r="CB20" s="260"/>
      <c r="CC20" s="262"/>
      <c r="CD20" s="262"/>
      <c r="CE20" s="260"/>
      <c r="CF20" s="263"/>
      <c r="CG20" s="263"/>
      <c r="CH20" s="264"/>
      <c r="CI20" s="261"/>
      <c r="CJ20" s="265"/>
      <c r="CK20" s="172">
        <v>0</v>
      </c>
      <c r="CL20" s="166"/>
      <c r="CM20" s="176"/>
      <c r="CN20" s="177"/>
      <c r="CO20" s="156">
        <f t="shared" si="1"/>
        <v>-80000000</v>
      </c>
      <c r="CP20" s="291">
        <f t="shared" si="2"/>
        <v>-0.2857142857142857</v>
      </c>
      <c r="CQ20" s="291">
        <f t="shared" si="3"/>
        <v>4</v>
      </c>
      <c r="CR20" s="291">
        <f t="shared" si="4"/>
        <v>0.7142857142857143</v>
      </c>
    </row>
    <row r="21" spans="1:96" s="173" customFormat="1" ht="18" hidden="1" customHeight="1" outlineLevel="2">
      <c r="A21" s="150" t="str">
        <f t="shared" si="0"/>
        <v>in</v>
      </c>
      <c r="B21" s="171"/>
      <c r="C21" s="168" t="s">
        <v>162</v>
      </c>
      <c r="D21" s="172">
        <v>57907224</v>
      </c>
      <c r="E21" s="172">
        <v>0</v>
      </c>
      <c r="F21" s="172">
        <v>0</v>
      </c>
      <c r="G21" s="172">
        <v>0</v>
      </c>
      <c r="H21" s="172">
        <v>0</v>
      </c>
      <c r="I21" s="172">
        <v>0</v>
      </c>
      <c r="J21" s="172">
        <v>0</v>
      </c>
      <c r="K21" s="172">
        <v>13227272</v>
      </c>
      <c r="L21" s="172">
        <v>0</v>
      </c>
      <c r="M21" s="172">
        <v>0</v>
      </c>
      <c r="N21" s="172">
        <v>17814772</v>
      </c>
      <c r="O21" s="172">
        <v>0</v>
      </c>
      <c r="P21" s="172">
        <v>0</v>
      </c>
      <c r="Q21" s="172">
        <v>26865180</v>
      </c>
      <c r="R21" s="172">
        <v>0</v>
      </c>
      <c r="S21" s="172">
        <v>13227272</v>
      </c>
      <c r="T21" s="172">
        <v>17814772</v>
      </c>
      <c r="U21" s="172">
        <v>26865180</v>
      </c>
      <c r="V21" s="172">
        <v>142209597.0181818</v>
      </c>
      <c r="W21" s="172">
        <v>142209597.0181818</v>
      </c>
      <c r="X21" s="172">
        <v>0</v>
      </c>
      <c r="Y21" s="172">
        <v>0</v>
      </c>
      <c r="Z21" s="172">
        <v>56882464</v>
      </c>
      <c r="AA21" s="172">
        <v>0</v>
      </c>
      <c r="AB21" s="172">
        <v>0</v>
      </c>
      <c r="AC21" s="172">
        <v>31897453.090909101</v>
      </c>
      <c r="AD21" s="172">
        <v>0</v>
      </c>
      <c r="AE21" s="172">
        <v>0</v>
      </c>
      <c r="AF21" s="172">
        <v>23843045.454545453</v>
      </c>
      <c r="AG21" s="172">
        <v>0</v>
      </c>
      <c r="AH21" s="172">
        <v>0</v>
      </c>
      <c r="AI21" s="172">
        <v>29586634.472727269</v>
      </c>
      <c r="AJ21" s="172"/>
      <c r="AK21" s="172">
        <v>56882464</v>
      </c>
      <c r="AL21" s="172">
        <v>31897453.090909101</v>
      </c>
      <c r="AM21" s="172">
        <v>23843045.454545453</v>
      </c>
      <c r="AN21" s="172">
        <v>29586634.472727269</v>
      </c>
      <c r="AO21" s="160">
        <v>2.4558178961951587</v>
      </c>
      <c r="AP21" s="172">
        <v>333915665</v>
      </c>
      <c r="AQ21" s="172">
        <v>0</v>
      </c>
      <c r="AR21" s="172">
        <v>0</v>
      </c>
      <c r="AS21" s="172">
        <v>56882464</v>
      </c>
      <c r="AT21" s="172">
        <v>0</v>
      </c>
      <c r="AU21" s="172">
        <v>0</v>
      </c>
      <c r="AV21" s="172">
        <v>91015513</v>
      </c>
      <c r="AW21" s="172">
        <v>0</v>
      </c>
      <c r="AX21" s="172">
        <v>0</v>
      </c>
      <c r="AY21" s="172">
        <v>94196206</v>
      </c>
      <c r="AZ21" s="172">
        <v>0</v>
      </c>
      <c r="BA21" s="172">
        <v>0</v>
      </c>
      <c r="BB21" s="172">
        <v>91821482</v>
      </c>
      <c r="BC21" s="172">
        <v>56882464</v>
      </c>
      <c r="BD21" s="172">
        <v>91015513</v>
      </c>
      <c r="BE21" s="172">
        <v>94196206</v>
      </c>
      <c r="BF21" s="172">
        <v>91821482</v>
      </c>
      <c r="BG21" s="267">
        <v>348586726</v>
      </c>
      <c r="BH21" s="267">
        <v>0</v>
      </c>
      <c r="BI21" s="267">
        <v>0</v>
      </c>
      <c r="BJ21" s="267">
        <v>62570710</v>
      </c>
      <c r="BK21" s="267">
        <v>0</v>
      </c>
      <c r="BL21" s="267">
        <v>0</v>
      </c>
      <c r="BM21" s="267">
        <v>100117064</v>
      </c>
      <c r="BN21" s="267">
        <v>0</v>
      </c>
      <c r="BO21" s="267">
        <v>0</v>
      </c>
      <c r="BP21" s="267">
        <v>89486396</v>
      </c>
      <c r="BQ21" s="263">
        <v>0</v>
      </c>
      <c r="BR21" s="267">
        <v>0</v>
      </c>
      <c r="BS21" s="267">
        <v>96412556</v>
      </c>
      <c r="BT21" s="172">
        <v>62570710</v>
      </c>
      <c r="BU21" s="172">
        <v>100117064</v>
      </c>
      <c r="BV21" s="172">
        <v>89486396</v>
      </c>
      <c r="BW21" s="172">
        <v>96412556</v>
      </c>
      <c r="BX21" s="266">
        <v>0</v>
      </c>
      <c r="BY21" s="267">
        <v>0</v>
      </c>
      <c r="BZ21" s="267"/>
      <c r="CA21" s="267"/>
      <c r="CB21" s="267"/>
      <c r="CC21" s="267"/>
      <c r="CD21" s="267"/>
      <c r="CE21" s="267"/>
      <c r="CF21" s="267"/>
      <c r="CG21" s="267"/>
      <c r="CH21" s="267"/>
      <c r="CI21" s="267"/>
      <c r="CJ21" s="267"/>
      <c r="CK21" s="268">
        <v>0</v>
      </c>
      <c r="CL21" s="268"/>
      <c r="CM21" s="268"/>
      <c r="CN21" s="268"/>
      <c r="CO21" s="156">
        <f t="shared" si="1"/>
        <v>14671061</v>
      </c>
      <c r="CP21" s="291">
        <f t="shared" si="2"/>
        <v>4.393642628296579E-2</v>
      </c>
      <c r="CQ21" s="291">
        <f t="shared" si="3"/>
        <v>5.7663904766009848</v>
      </c>
      <c r="CR21" s="291">
        <f t="shared" si="4"/>
        <v>1.0439364262829658</v>
      </c>
    </row>
    <row r="22" spans="1:96" s="161" customFormat="1" ht="18" hidden="1" customHeight="1" outlineLevel="1">
      <c r="A22" s="150" t="str">
        <f t="shared" si="0"/>
        <v>in</v>
      </c>
      <c r="B22" s="150"/>
      <c r="C22" s="157" t="s">
        <v>163</v>
      </c>
      <c r="D22" s="166">
        <v>310138889</v>
      </c>
      <c r="E22" s="166">
        <v>0</v>
      </c>
      <c r="F22" s="166"/>
      <c r="G22" s="166"/>
      <c r="H22" s="166"/>
      <c r="I22" s="166">
        <v>0</v>
      </c>
      <c r="J22" s="166">
        <v>0</v>
      </c>
      <c r="K22" s="166">
        <v>0</v>
      </c>
      <c r="L22" s="166">
        <v>0</v>
      </c>
      <c r="M22" s="166">
        <v>0</v>
      </c>
      <c r="N22" s="166">
        <v>0</v>
      </c>
      <c r="O22" s="166">
        <v>0</v>
      </c>
      <c r="P22" s="166">
        <v>0</v>
      </c>
      <c r="Q22" s="166">
        <v>310138889</v>
      </c>
      <c r="R22" s="166">
        <v>0</v>
      </c>
      <c r="S22" s="166">
        <v>0</v>
      </c>
      <c r="T22" s="166">
        <v>0</v>
      </c>
      <c r="U22" s="166">
        <v>310138889</v>
      </c>
      <c r="V22" s="166">
        <v>84922038</v>
      </c>
      <c r="W22" s="166">
        <v>84922038</v>
      </c>
      <c r="X22" s="166">
        <v>84922038</v>
      </c>
      <c r="Y22" s="166">
        <v>0</v>
      </c>
      <c r="Z22" s="166">
        <v>0</v>
      </c>
      <c r="AA22" s="166">
        <v>0</v>
      </c>
      <c r="AB22" s="166">
        <v>0</v>
      </c>
      <c r="AC22" s="166">
        <v>0</v>
      </c>
      <c r="AD22" s="166">
        <v>0</v>
      </c>
      <c r="AE22" s="166">
        <v>0</v>
      </c>
      <c r="AF22" s="166">
        <v>0</v>
      </c>
      <c r="AG22" s="166">
        <v>0</v>
      </c>
      <c r="AH22" s="166">
        <v>0</v>
      </c>
      <c r="AI22" s="166">
        <v>0</v>
      </c>
      <c r="AJ22" s="166"/>
      <c r="AK22" s="166">
        <v>84922038</v>
      </c>
      <c r="AL22" s="166">
        <v>0</v>
      </c>
      <c r="AM22" s="166">
        <v>0</v>
      </c>
      <c r="AN22" s="166">
        <v>0</v>
      </c>
      <c r="AO22" s="160">
        <v>0.27381937903311443</v>
      </c>
      <c r="AP22" s="166">
        <v>969470373</v>
      </c>
      <c r="AQ22" s="166">
        <v>84922038</v>
      </c>
      <c r="AR22" s="166">
        <v>0</v>
      </c>
      <c r="AS22" s="166">
        <v>0</v>
      </c>
      <c r="AT22" s="166">
        <v>0</v>
      </c>
      <c r="AU22" s="166">
        <v>0</v>
      </c>
      <c r="AV22" s="166">
        <v>0</v>
      </c>
      <c r="AW22" s="166">
        <v>0</v>
      </c>
      <c r="AX22" s="166">
        <v>0</v>
      </c>
      <c r="AY22" s="166">
        <v>0</v>
      </c>
      <c r="AZ22" s="166">
        <v>0</v>
      </c>
      <c r="BA22" s="166">
        <v>11115000</v>
      </c>
      <c r="BB22" s="166">
        <v>873433335</v>
      </c>
      <c r="BC22" s="166">
        <v>84922038</v>
      </c>
      <c r="BD22" s="166">
        <v>0</v>
      </c>
      <c r="BE22" s="166">
        <v>0</v>
      </c>
      <c r="BF22" s="166">
        <v>884548335</v>
      </c>
      <c r="BG22" s="270">
        <v>0</v>
      </c>
      <c r="BH22" s="270">
        <v>0</v>
      </c>
      <c r="BI22" s="270">
        <v>0</v>
      </c>
      <c r="BJ22" s="270">
        <v>0</v>
      </c>
      <c r="BK22" s="270">
        <v>0</v>
      </c>
      <c r="BL22" s="270">
        <v>0</v>
      </c>
      <c r="BM22" s="270">
        <v>0</v>
      </c>
      <c r="BN22" s="270">
        <v>0</v>
      </c>
      <c r="BO22" s="270">
        <v>0</v>
      </c>
      <c r="BP22" s="270">
        <v>0</v>
      </c>
      <c r="BQ22" s="264">
        <v>0</v>
      </c>
      <c r="BR22" s="270">
        <v>0</v>
      </c>
      <c r="BS22" s="270">
        <v>0</v>
      </c>
      <c r="BT22" s="166">
        <v>0</v>
      </c>
      <c r="BU22" s="166">
        <v>0</v>
      </c>
      <c r="BV22" s="166">
        <v>0</v>
      </c>
      <c r="BW22" s="166">
        <v>0</v>
      </c>
      <c r="BX22" s="269">
        <v>0</v>
      </c>
      <c r="BY22" s="270">
        <v>0</v>
      </c>
      <c r="BZ22" s="270"/>
      <c r="CA22" s="270"/>
      <c r="CB22" s="270"/>
      <c r="CC22" s="270"/>
      <c r="CD22" s="270"/>
      <c r="CE22" s="270"/>
      <c r="CF22" s="270"/>
      <c r="CG22" s="270"/>
      <c r="CH22" s="270"/>
      <c r="CI22" s="270"/>
      <c r="CJ22" s="270"/>
      <c r="CK22" s="271">
        <v>0</v>
      </c>
      <c r="CL22" s="271"/>
      <c r="CM22" s="271"/>
      <c r="CN22" s="271"/>
      <c r="CO22" s="156">
        <f t="shared" si="1"/>
        <v>-969470373</v>
      </c>
      <c r="CP22" s="291">
        <f t="shared" si="2"/>
        <v>-1</v>
      </c>
      <c r="CQ22" s="291">
        <f t="shared" si="3"/>
        <v>3.1259232794891454</v>
      </c>
      <c r="CR22" s="291">
        <f t="shared" si="4"/>
        <v>0</v>
      </c>
    </row>
    <row r="23" spans="1:96" s="156" customFormat="1" ht="15.5" collapsed="1">
      <c r="A23" s="150" t="str">
        <f t="shared" si="0"/>
        <v>ẩn</v>
      </c>
      <c r="B23" s="151"/>
      <c r="C23" s="152" t="s">
        <v>164</v>
      </c>
      <c r="D23" s="176">
        <v>2391574</v>
      </c>
      <c r="E23" s="176">
        <v>0</v>
      </c>
      <c r="F23" s="176">
        <v>0</v>
      </c>
      <c r="G23" s="176">
        <v>0</v>
      </c>
      <c r="H23" s="176">
        <v>0</v>
      </c>
      <c r="I23" s="176">
        <v>0</v>
      </c>
      <c r="J23" s="176">
        <v>0</v>
      </c>
      <c r="K23" s="176">
        <v>0</v>
      </c>
      <c r="L23" s="176">
        <v>0</v>
      </c>
      <c r="M23" s="176">
        <v>0</v>
      </c>
      <c r="N23" s="176">
        <v>0</v>
      </c>
      <c r="O23" s="176">
        <v>2391574</v>
      </c>
      <c r="P23" s="176">
        <v>0</v>
      </c>
      <c r="Q23" s="176">
        <v>0</v>
      </c>
      <c r="R23" s="176">
        <v>0</v>
      </c>
      <c r="S23" s="176">
        <v>0</v>
      </c>
      <c r="T23" s="176">
        <v>0</v>
      </c>
      <c r="U23" s="176">
        <v>2391574</v>
      </c>
      <c r="V23" s="176">
        <v>0</v>
      </c>
      <c r="W23" s="176">
        <v>0</v>
      </c>
      <c r="X23" s="176">
        <v>0</v>
      </c>
      <c r="Y23" s="176">
        <v>0</v>
      </c>
      <c r="Z23" s="176">
        <v>0</v>
      </c>
      <c r="AA23" s="176">
        <v>0</v>
      </c>
      <c r="AB23" s="176">
        <v>0</v>
      </c>
      <c r="AC23" s="176">
        <v>0</v>
      </c>
      <c r="AD23" s="176">
        <v>0</v>
      </c>
      <c r="AE23" s="176">
        <v>0</v>
      </c>
      <c r="AF23" s="176">
        <v>0</v>
      </c>
      <c r="AG23" s="176">
        <v>0</v>
      </c>
      <c r="AH23" s="176">
        <v>0</v>
      </c>
      <c r="AI23" s="176">
        <v>0</v>
      </c>
      <c r="AJ23" s="176"/>
      <c r="AK23" s="176">
        <v>0</v>
      </c>
      <c r="AL23" s="176">
        <v>0</v>
      </c>
      <c r="AM23" s="176">
        <v>0</v>
      </c>
      <c r="AN23" s="176">
        <v>0</v>
      </c>
      <c r="AO23" s="160">
        <v>0</v>
      </c>
      <c r="AP23" s="176">
        <v>2813779</v>
      </c>
      <c r="AQ23" s="176">
        <v>0</v>
      </c>
      <c r="AR23" s="176">
        <v>1048000</v>
      </c>
      <c r="AS23" s="176">
        <v>0</v>
      </c>
      <c r="AT23" s="176">
        <v>0</v>
      </c>
      <c r="AU23" s="176">
        <v>1100931</v>
      </c>
      <c r="AV23" s="176">
        <v>0</v>
      </c>
      <c r="AW23" s="176">
        <v>0</v>
      </c>
      <c r="AX23" s="176">
        <v>0</v>
      </c>
      <c r="AY23" s="176">
        <v>0</v>
      </c>
      <c r="AZ23" s="176">
        <v>664848</v>
      </c>
      <c r="BA23" s="176">
        <v>0</v>
      </c>
      <c r="BB23" s="176">
        <v>0</v>
      </c>
      <c r="BC23" s="176">
        <v>1048000</v>
      </c>
      <c r="BD23" s="176">
        <v>1100931</v>
      </c>
      <c r="BE23" s="176">
        <v>0</v>
      </c>
      <c r="BF23" s="176">
        <v>664848</v>
      </c>
      <c r="BG23" s="273">
        <v>0</v>
      </c>
      <c r="BH23" s="273">
        <v>0</v>
      </c>
      <c r="BI23" s="273">
        <v>0</v>
      </c>
      <c r="BJ23" s="273">
        <v>0</v>
      </c>
      <c r="BK23" s="273">
        <v>0</v>
      </c>
      <c r="BL23" s="273">
        <v>0</v>
      </c>
      <c r="BM23" s="273">
        <v>0</v>
      </c>
      <c r="BN23" s="273">
        <v>0</v>
      </c>
      <c r="BO23" s="273">
        <v>0</v>
      </c>
      <c r="BP23" s="273">
        <v>0</v>
      </c>
      <c r="BQ23" s="298">
        <v>0</v>
      </c>
      <c r="BR23" s="273">
        <v>0</v>
      </c>
      <c r="BS23" s="273">
        <v>0</v>
      </c>
      <c r="BT23" s="176">
        <v>0</v>
      </c>
      <c r="BU23" s="176">
        <v>0</v>
      </c>
      <c r="BV23" s="176">
        <v>0</v>
      </c>
      <c r="BW23" s="176">
        <v>0</v>
      </c>
      <c r="BX23" s="272">
        <v>0</v>
      </c>
      <c r="BY23" s="273">
        <v>0</v>
      </c>
      <c r="BZ23" s="273"/>
      <c r="CA23" s="273"/>
      <c r="CB23" s="273"/>
      <c r="CC23" s="273"/>
      <c r="CD23" s="273"/>
      <c r="CE23" s="273"/>
      <c r="CF23" s="273"/>
      <c r="CG23" s="273"/>
      <c r="CH23" s="273"/>
      <c r="CI23" s="273"/>
      <c r="CJ23" s="273"/>
      <c r="CK23" s="274">
        <v>0</v>
      </c>
      <c r="CL23" s="274"/>
      <c r="CM23" s="274"/>
      <c r="CN23" s="274"/>
      <c r="CO23" s="156">
        <f t="shared" si="1"/>
        <v>-2813779</v>
      </c>
      <c r="CP23" s="291">
        <f t="shared" si="2"/>
        <v>-1</v>
      </c>
      <c r="CQ23" s="291">
        <f t="shared" si="3"/>
        <v>1.1765385474168895</v>
      </c>
      <c r="CR23" s="291">
        <f t="shared" si="4"/>
        <v>0</v>
      </c>
    </row>
    <row r="24" spans="1:96" s="161" customFormat="1" ht="15.5" hidden="1" outlineLevel="1">
      <c r="A24" s="150" t="str">
        <f t="shared" si="0"/>
        <v>ẩn</v>
      </c>
      <c r="B24" s="150"/>
      <c r="C24" s="157" t="s">
        <v>165</v>
      </c>
      <c r="D24" s="177">
        <v>0</v>
      </c>
      <c r="E24" s="177">
        <v>0</v>
      </c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>
        <v>0</v>
      </c>
      <c r="S24" s="177">
        <v>0</v>
      </c>
      <c r="T24" s="177">
        <v>0</v>
      </c>
      <c r="U24" s="177">
        <v>0</v>
      </c>
      <c r="V24" s="177">
        <v>0</v>
      </c>
      <c r="W24" s="177">
        <v>0</v>
      </c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>
        <v>0</v>
      </c>
      <c r="AL24" s="177">
        <v>0</v>
      </c>
      <c r="AM24" s="177">
        <v>0</v>
      </c>
      <c r="AN24" s="177">
        <v>0</v>
      </c>
      <c r="AO24" s="160"/>
      <c r="AP24" s="177">
        <v>0</v>
      </c>
      <c r="AQ24" s="177"/>
      <c r="AR24" s="177"/>
      <c r="AS24" s="177"/>
      <c r="AT24" s="177"/>
      <c r="AU24" s="177"/>
      <c r="AV24" s="177"/>
      <c r="AW24" s="177"/>
      <c r="AX24" s="177"/>
      <c r="AY24" s="177"/>
      <c r="AZ24" s="177"/>
      <c r="BA24" s="177"/>
      <c r="BB24" s="177"/>
      <c r="BC24" s="177">
        <v>0</v>
      </c>
      <c r="BD24" s="177">
        <v>0</v>
      </c>
      <c r="BE24" s="177">
        <v>0</v>
      </c>
      <c r="BF24" s="177">
        <v>0</v>
      </c>
      <c r="BG24" s="270">
        <v>0</v>
      </c>
      <c r="BH24" s="270"/>
      <c r="BI24" s="270"/>
      <c r="BJ24" s="270"/>
      <c r="BK24" s="270"/>
      <c r="BL24" s="270"/>
      <c r="BM24" s="270"/>
      <c r="BN24" s="270"/>
      <c r="BO24" s="270"/>
      <c r="BP24" s="270"/>
      <c r="BQ24" s="299"/>
      <c r="BR24" s="270"/>
      <c r="BS24" s="270"/>
      <c r="BT24" s="177">
        <v>0</v>
      </c>
      <c r="BU24" s="177">
        <v>0</v>
      </c>
      <c r="BV24" s="177">
        <v>0</v>
      </c>
      <c r="BW24" s="177">
        <v>0</v>
      </c>
      <c r="BX24" s="269">
        <v>0</v>
      </c>
      <c r="BY24" s="270"/>
      <c r="BZ24" s="270"/>
      <c r="CA24" s="270"/>
      <c r="CB24" s="270"/>
      <c r="CC24" s="270"/>
      <c r="CD24" s="270"/>
      <c r="CE24" s="270"/>
      <c r="CF24" s="270"/>
      <c r="CG24" s="270"/>
      <c r="CH24" s="270"/>
      <c r="CI24" s="270"/>
      <c r="CJ24" s="270"/>
      <c r="CK24" s="271"/>
      <c r="CL24" s="271"/>
      <c r="CM24" s="271"/>
      <c r="CN24" s="271"/>
      <c r="CO24" s="156">
        <f t="shared" si="1"/>
        <v>0</v>
      </c>
      <c r="CP24" s="291" t="str">
        <f t="shared" si="2"/>
        <v/>
      </c>
      <c r="CQ24" s="291" t="e">
        <f t="shared" si="3"/>
        <v>#DIV/0!</v>
      </c>
      <c r="CR24" s="291" t="e">
        <f t="shared" si="4"/>
        <v>#DIV/0!</v>
      </c>
    </row>
    <row r="25" spans="1:96" s="161" customFormat="1" ht="15.5" hidden="1" outlineLevel="1">
      <c r="A25" s="150" t="str">
        <f t="shared" si="0"/>
        <v>ẩn</v>
      </c>
      <c r="B25" s="150"/>
      <c r="C25" s="157" t="s">
        <v>166</v>
      </c>
      <c r="D25" s="177">
        <v>0</v>
      </c>
      <c r="E25" s="177">
        <v>0</v>
      </c>
      <c r="F25" s="177">
        <v>0</v>
      </c>
      <c r="G25" s="177">
        <v>0</v>
      </c>
      <c r="H25" s="177">
        <v>0</v>
      </c>
      <c r="I25" s="177">
        <v>0</v>
      </c>
      <c r="J25" s="177">
        <v>0</v>
      </c>
      <c r="K25" s="177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  <c r="U25" s="177">
        <v>0</v>
      </c>
      <c r="V25" s="177">
        <v>0</v>
      </c>
      <c r="W25" s="177">
        <v>0</v>
      </c>
      <c r="X25" s="177">
        <v>0</v>
      </c>
      <c r="Y25" s="177">
        <v>0</v>
      </c>
      <c r="Z25" s="177">
        <v>0</v>
      </c>
      <c r="AA25" s="177">
        <v>0</v>
      </c>
      <c r="AB25" s="177">
        <v>0</v>
      </c>
      <c r="AC25" s="177">
        <v>0</v>
      </c>
      <c r="AD25" s="177">
        <v>0</v>
      </c>
      <c r="AE25" s="177">
        <v>0</v>
      </c>
      <c r="AF25" s="177">
        <v>0</v>
      </c>
      <c r="AG25" s="177">
        <v>0</v>
      </c>
      <c r="AH25" s="177">
        <v>0</v>
      </c>
      <c r="AI25" s="177">
        <v>0</v>
      </c>
      <c r="AJ25" s="177"/>
      <c r="AK25" s="177">
        <v>0</v>
      </c>
      <c r="AL25" s="177">
        <v>0</v>
      </c>
      <c r="AM25" s="177">
        <v>0</v>
      </c>
      <c r="AN25" s="177">
        <v>0</v>
      </c>
      <c r="AO25" s="160"/>
      <c r="AP25" s="177">
        <v>1048000</v>
      </c>
      <c r="AQ25" s="177">
        <v>0</v>
      </c>
      <c r="AR25" s="177">
        <v>1048000</v>
      </c>
      <c r="AS25" s="177">
        <v>0</v>
      </c>
      <c r="AT25" s="177">
        <v>0</v>
      </c>
      <c r="AU25" s="177">
        <v>0</v>
      </c>
      <c r="AV25" s="177">
        <v>0</v>
      </c>
      <c r="AW25" s="177">
        <v>0</v>
      </c>
      <c r="AX25" s="177">
        <v>0</v>
      </c>
      <c r="AY25" s="177">
        <v>0</v>
      </c>
      <c r="AZ25" s="177">
        <v>0</v>
      </c>
      <c r="BA25" s="177">
        <v>0</v>
      </c>
      <c r="BB25" s="177">
        <v>0</v>
      </c>
      <c r="BC25" s="177">
        <v>1048000</v>
      </c>
      <c r="BD25" s="177">
        <v>0</v>
      </c>
      <c r="BE25" s="177">
        <v>0</v>
      </c>
      <c r="BF25" s="177">
        <v>0</v>
      </c>
      <c r="BG25" s="270">
        <v>0</v>
      </c>
      <c r="BH25" s="270">
        <v>0</v>
      </c>
      <c r="BI25" s="270">
        <v>0</v>
      </c>
      <c r="BJ25" s="270">
        <v>0</v>
      </c>
      <c r="BK25" s="270">
        <v>0</v>
      </c>
      <c r="BL25" s="270">
        <v>0</v>
      </c>
      <c r="BM25" s="270">
        <v>0</v>
      </c>
      <c r="BN25" s="270">
        <v>0</v>
      </c>
      <c r="BO25" s="270">
        <v>0</v>
      </c>
      <c r="BP25" s="270">
        <v>0</v>
      </c>
      <c r="BQ25" s="299">
        <v>0</v>
      </c>
      <c r="BR25" s="270">
        <v>0</v>
      </c>
      <c r="BS25" s="270">
        <v>0</v>
      </c>
      <c r="BT25" s="177">
        <v>0</v>
      </c>
      <c r="BU25" s="177">
        <v>0</v>
      </c>
      <c r="BV25" s="177">
        <v>0</v>
      </c>
      <c r="BW25" s="177">
        <v>0</v>
      </c>
      <c r="BX25" s="269">
        <v>0</v>
      </c>
      <c r="BY25" s="270">
        <v>0</v>
      </c>
      <c r="BZ25" s="270"/>
      <c r="CA25" s="270"/>
      <c r="CB25" s="270"/>
      <c r="CC25" s="270"/>
      <c r="CD25" s="270"/>
      <c r="CE25" s="270"/>
      <c r="CF25" s="270"/>
      <c r="CG25" s="270"/>
      <c r="CH25" s="270"/>
      <c r="CI25" s="270"/>
      <c r="CJ25" s="270"/>
      <c r="CK25" s="271">
        <v>0</v>
      </c>
      <c r="CL25" s="271"/>
      <c r="CM25" s="271"/>
      <c r="CN25" s="271"/>
      <c r="CO25" s="156">
        <f t="shared" si="1"/>
        <v>-1048000</v>
      </c>
      <c r="CP25" s="291">
        <f t="shared" si="2"/>
        <v>-1</v>
      </c>
      <c r="CQ25" s="291" t="e">
        <f t="shared" si="3"/>
        <v>#DIV/0!</v>
      </c>
      <c r="CR25" s="291">
        <f t="shared" si="4"/>
        <v>0</v>
      </c>
    </row>
    <row r="26" spans="1:96" s="161" customFormat="1" ht="15.5" hidden="1" outlineLevel="1">
      <c r="A26" s="150" t="str">
        <f t="shared" si="0"/>
        <v>ẩn</v>
      </c>
      <c r="B26" s="150"/>
      <c r="C26" s="157" t="s">
        <v>167</v>
      </c>
      <c r="D26" s="177">
        <v>2391574</v>
      </c>
      <c r="E26" s="177">
        <v>0</v>
      </c>
      <c r="F26" s="177">
        <v>0</v>
      </c>
      <c r="G26" s="177">
        <v>0</v>
      </c>
      <c r="H26" s="177">
        <v>0</v>
      </c>
      <c r="I26" s="177">
        <v>0</v>
      </c>
      <c r="J26" s="177">
        <v>0</v>
      </c>
      <c r="K26" s="177">
        <v>0</v>
      </c>
      <c r="L26" s="177">
        <v>0</v>
      </c>
      <c r="M26" s="177">
        <v>0</v>
      </c>
      <c r="N26" s="177">
        <v>0</v>
      </c>
      <c r="O26" s="177">
        <v>2391574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  <c r="U26" s="177">
        <v>2391574</v>
      </c>
      <c r="V26" s="177">
        <v>0</v>
      </c>
      <c r="W26" s="177">
        <v>0</v>
      </c>
      <c r="X26" s="177">
        <v>0</v>
      </c>
      <c r="Y26" s="177">
        <v>0</v>
      </c>
      <c r="Z26" s="177">
        <v>0</v>
      </c>
      <c r="AA26" s="177">
        <v>0</v>
      </c>
      <c r="AB26" s="177">
        <v>0</v>
      </c>
      <c r="AC26" s="177">
        <v>0</v>
      </c>
      <c r="AD26" s="177">
        <v>0</v>
      </c>
      <c r="AE26" s="177">
        <v>0</v>
      </c>
      <c r="AF26" s="177">
        <v>0</v>
      </c>
      <c r="AG26" s="177">
        <v>0</v>
      </c>
      <c r="AH26" s="177">
        <v>0</v>
      </c>
      <c r="AI26" s="177">
        <v>0</v>
      </c>
      <c r="AJ26" s="177"/>
      <c r="AK26" s="177">
        <v>0</v>
      </c>
      <c r="AL26" s="177">
        <v>0</v>
      </c>
      <c r="AM26" s="177">
        <v>0</v>
      </c>
      <c r="AN26" s="177">
        <v>0</v>
      </c>
      <c r="AO26" s="160">
        <v>0</v>
      </c>
      <c r="AP26" s="177">
        <v>1765779</v>
      </c>
      <c r="AQ26" s="177">
        <v>0</v>
      </c>
      <c r="AR26" s="177">
        <v>0</v>
      </c>
      <c r="AS26" s="177">
        <v>0</v>
      </c>
      <c r="AT26" s="177">
        <v>0</v>
      </c>
      <c r="AU26" s="177">
        <v>1100931</v>
      </c>
      <c r="AV26" s="177">
        <v>0</v>
      </c>
      <c r="AW26" s="177">
        <v>0</v>
      </c>
      <c r="AX26" s="177">
        <v>0</v>
      </c>
      <c r="AY26" s="177">
        <v>0</v>
      </c>
      <c r="AZ26" s="177">
        <v>664848</v>
      </c>
      <c r="BA26" s="177">
        <v>0</v>
      </c>
      <c r="BB26" s="177">
        <v>0</v>
      </c>
      <c r="BC26" s="177">
        <v>0</v>
      </c>
      <c r="BD26" s="177">
        <v>1100931</v>
      </c>
      <c r="BE26" s="177">
        <v>0</v>
      </c>
      <c r="BF26" s="177">
        <v>664848</v>
      </c>
      <c r="BG26" s="270">
        <v>0</v>
      </c>
      <c r="BH26" s="270">
        <v>0</v>
      </c>
      <c r="BI26" s="270">
        <v>0</v>
      </c>
      <c r="BJ26" s="270">
        <v>0</v>
      </c>
      <c r="BK26" s="270">
        <v>0</v>
      </c>
      <c r="BL26" s="270">
        <v>0</v>
      </c>
      <c r="BM26" s="270">
        <v>0</v>
      </c>
      <c r="BN26" s="270">
        <v>0</v>
      </c>
      <c r="BO26" s="270">
        <v>0</v>
      </c>
      <c r="BP26" s="270">
        <v>0</v>
      </c>
      <c r="BQ26" s="299">
        <v>0</v>
      </c>
      <c r="BR26" s="270">
        <v>0</v>
      </c>
      <c r="BS26" s="270">
        <v>0</v>
      </c>
      <c r="BT26" s="177">
        <v>0</v>
      </c>
      <c r="BU26" s="177">
        <v>0</v>
      </c>
      <c r="BV26" s="177">
        <v>0</v>
      </c>
      <c r="BW26" s="177">
        <v>0</v>
      </c>
      <c r="BX26" s="269">
        <v>0</v>
      </c>
      <c r="BY26" s="270">
        <v>0</v>
      </c>
      <c r="BZ26" s="270"/>
      <c r="CA26" s="270"/>
      <c r="CB26" s="270"/>
      <c r="CC26" s="270"/>
      <c r="CD26" s="270"/>
      <c r="CE26" s="270"/>
      <c r="CF26" s="270"/>
      <c r="CG26" s="270"/>
      <c r="CH26" s="270"/>
      <c r="CI26" s="270"/>
      <c r="CJ26" s="270"/>
      <c r="CK26" s="271">
        <v>0</v>
      </c>
      <c r="CL26" s="271"/>
      <c r="CM26" s="271"/>
      <c r="CN26" s="271"/>
      <c r="CO26" s="156">
        <f t="shared" si="1"/>
        <v>-1765779</v>
      </c>
      <c r="CP26" s="291">
        <f t="shared" si="2"/>
        <v>-1</v>
      </c>
      <c r="CQ26" s="291">
        <f t="shared" si="3"/>
        <v>0.73833341556648469</v>
      </c>
      <c r="CR26" s="291">
        <f t="shared" si="4"/>
        <v>0</v>
      </c>
    </row>
    <row r="27" spans="1:96" s="161" customFormat="1" ht="15.5" hidden="1" outlineLevel="1">
      <c r="A27" s="150" t="str">
        <f t="shared" si="0"/>
        <v>ẩn</v>
      </c>
      <c r="B27" s="150"/>
      <c r="C27" s="157" t="s">
        <v>168</v>
      </c>
      <c r="D27" s="177">
        <v>0</v>
      </c>
      <c r="E27" s="177">
        <v>0</v>
      </c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>
        <v>0</v>
      </c>
      <c r="S27" s="177">
        <v>0</v>
      </c>
      <c r="T27" s="177">
        <v>0</v>
      </c>
      <c r="U27" s="177">
        <v>0</v>
      </c>
      <c r="V27" s="177">
        <v>0</v>
      </c>
      <c r="W27" s="177">
        <v>0</v>
      </c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>
        <v>0</v>
      </c>
      <c r="AL27" s="177">
        <v>0</v>
      </c>
      <c r="AM27" s="177">
        <v>0</v>
      </c>
      <c r="AN27" s="177">
        <v>0</v>
      </c>
      <c r="AO27" s="160"/>
      <c r="AP27" s="177">
        <v>0</v>
      </c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>
        <v>0</v>
      </c>
      <c r="BD27" s="177">
        <v>0</v>
      </c>
      <c r="BE27" s="177">
        <v>0</v>
      </c>
      <c r="BF27" s="177">
        <v>0</v>
      </c>
      <c r="BG27" s="270">
        <v>0</v>
      </c>
      <c r="BH27" s="270"/>
      <c r="BI27" s="270"/>
      <c r="BJ27" s="270"/>
      <c r="BK27" s="270"/>
      <c r="BL27" s="270"/>
      <c r="BM27" s="270"/>
      <c r="BN27" s="270"/>
      <c r="BO27" s="270"/>
      <c r="BP27" s="270"/>
      <c r="BQ27" s="299"/>
      <c r="BR27" s="270"/>
      <c r="BS27" s="270"/>
      <c r="BT27" s="177">
        <v>0</v>
      </c>
      <c r="BU27" s="177">
        <v>0</v>
      </c>
      <c r="BV27" s="177">
        <v>0</v>
      </c>
      <c r="BW27" s="177">
        <v>0</v>
      </c>
      <c r="BX27" s="269">
        <v>0</v>
      </c>
      <c r="BY27" s="270"/>
      <c r="BZ27" s="270"/>
      <c r="CA27" s="270"/>
      <c r="CB27" s="270"/>
      <c r="CC27" s="270"/>
      <c r="CD27" s="270"/>
      <c r="CE27" s="270"/>
      <c r="CF27" s="270"/>
      <c r="CG27" s="270"/>
      <c r="CH27" s="270"/>
      <c r="CI27" s="270"/>
      <c r="CJ27" s="270"/>
      <c r="CK27" s="271"/>
      <c r="CL27" s="271"/>
      <c r="CM27" s="271"/>
      <c r="CN27" s="271"/>
      <c r="CO27" s="156">
        <f t="shared" si="1"/>
        <v>0</v>
      </c>
      <c r="CP27" s="291" t="str">
        <f t="shared" si="2"/>
        <v/>
      </c>
      <c r="CQ27" s="291" t="e">
        <f t="shared" si="3"/>
        <v>#DIV/0!</v>
      </c>
      <c r="CR27" s="291" t="e">
        <f t="shared" si="4"/>
        <v>#DIV/0!</v>
      </c>
    </row>
    <row r="28" spans="1:96" s="156" customFormat="1" ht="15.5" collapsed="1">
      <c r="A28" s="150" t="str">
        <f t="shared" si="0"/>
        <v>in</v>
      </c>
      <c r="B28" s="151"/>
      <c r="C28" s="152" t="s">
        <v>169</v>
      </c>
      <c r="D28" s="176">
        <v>251735629906</v>
      </c>
      <c r="E28" s="176">
        <v>28074834024</v>
      </c>
      <c r="F28" s="176">
        <v>8625085726</v>
      </c>
      <c r="G28" s="176">
        <v>3123216088</v>
      </c>
      <c r="H28" s="176">
        <v>6873593666</v>
      </c>
      <c r="I28" s="176">
        <v>9452938544</v>
      </c>
      <c r="J28" s="176">
        <v>12187684327</v>
      </c>
      <c r="K28" s="176">
        <v>14572553903</v>
      </c>
      <c r="L28" s="176">
        <v>57110446262</v>
      </c>
      <c r="M28" s="176">
        <v>81979724061</v>
      </c>
      <c r="N28" s="176">
        <v>27445755387</v>
      </c>
      <c r="O28" s="176">
        <v>10023023647</v>
      </c>
      <c r="P28" s="176">
        <v>8751235578</v>
      </c>
      <c r="Q28" s="176">
        <v>11590372717</v>
      </c>
      <c r="R28" s="176">
        <v>18621895480</v>
      </c>
      <c r="S28" s="176">
        <v>36213176774</v>
      </c>
      <c r="T28" s="176">
        <v>166535925710</v>
      </c>
      <c r="U28" s="176">
        <v>30364631942</v>
      </c>
      <c r="V28" s="176">
        <v>283889013569.36047</v>
      </c>
      <c r="W28" s="176">
        <v>283889013569.36047</v>
      </c>
      <c r="X28" s="176">
        <v>13890604830.935463</v>
      </c>
      <c r="Y28" s="176">
        <v>6795929365.9970474</v>
      </c>
      <c r="Z28" s="176">
        <v>8764185916.8881626</v>
      </c>
      <c r="AA28" s="176">
        <v>11350534760.36965</v>
      </c>
      <c r="AB28" s="176">
        <v>12053007277.128941</v>
      </c>
      <c r="AC28" s="176">
        <v>11460245230.24958</v>
      </c>
      <c r="AD28" s="176">
        <v>57113187830.251137</v>
      </c>
      <c r="AE28" s="176">
        <v>78874245173.549988</v>
      </c>
      <c r="AF28" s="176">
        <v>54010530641.652069</v>
      </c>
      <c r="AG28" s="176">
        <v>10638424975.206612</v>
      </c>
      <c r="AH28" s="176">
        <v>9147131223.6800518</v>
      </c>
      <c r="AI28" s="176">
        <v>9790986343.4517612</v>
      </c>
      <c r="AJ28" s="176"/>
      <c r="AK28" s="176">
        <v>29450720113.820671</v>
      </c>
      <c r="AL28" s="176">
        <v>34863787267.748169</v>
      </c>
      <c r="AM28" s="176">
        <v>189997963645.45319</v>
      </c>
      <c r="AN28" s="176">
        <v>29576542542.338425</v>
      </c>
      <c r="AO28" s="160">
        <v>1.1277267889148899</v>
      </c>
      <c r="AP28" s="176">
        <v>290849364419</v>
      </c>
      <c r="AQ28" s="176">
        <v>13797963587</v>
      </c>
      <c r="AR28" s="176">
        <v>6658826230</v>
      </c>
      <c r="AS28" s="176">
        <v>9019405457</v>
      </c>
      <c r="AT28" s="176">
        <v>11016654074</v>
      </c>
      <c r="AU28" s="176">
        <v>11809085391</v>
      </c>
      <c r="AV28" s="176">
        <v>10390531914</v>
      </c>
      <c r="AW28" s="176">
        <v>41024125459</v>
      </c>
      <c r="AX28" s="176">
        <v>73871522687</v>
      </c>
      <c r="AY28" s="176">
        <v>80278102476</v>
      </c>
      <c r="AZ28" s="176">
        <v>11306164799</v>
      </c>
      <c r="BA28" s="176">
        <v>8531991581</v>
      </c>
      <c r="BB28" s="176">
        <v>13144990764</v>
      </c>
      <c r="BC28" s="176">
        <v>29476195274</v>
      </c>
      <c r="BD28" s="176">
        <v>33216271379</v>
      </c>
      <c r="BE28" s="176">
        <v>195173750622</v>
      </c>
      <c r="BF28" s="176">
        <v>32983147144</v>
      </c>
      <c r="BG28" s="273">
        <v>303818820953</v>
      </c>
      <c r="BH28" s="273">
        <v>7430996486</v>
      </c>
      <c r="BI28" s="273">
        <v>8583276880</v>
      </c>
      <c r="BJ28" s="273">
        <v>10174546674</v>
      </c>
      <c r="BK28" s="273">
        <v>12180080870</v>
      </c>
      <c r="BL28" s="273">
        <v>11934279308</v>
      </c>
      <c r="BM28" s="273">
        <v>12940754388</v>
      </c>
      <c r="BN28" s="273">
        <v>49533062151</v>
      </c>
      <c r="BO28" s="273">
        <v>84816242627</v>
      </c>
      <c r="BP28" s="273">
        <v>72959961527</v>
      </c>
      <c r="BQ28" s="298">
        <v>12101915370</v>
      </c>
      <c r="BR28" s="273">
        <v>8966700330</v>
      </c>
      <c r="BS28" s="273">
        <v>12197004342</v>
      </c>
      <c r="BT28" s="176">
        <v>26188820040</v>
      </c>
      <c r="BU28" s="176">
        <v>37055114566</v>
      </c>
      <c r="BV28" s="176">
        <v>207309266305</v>
      </c>
      <c r="BW28" s="176">
        <v>33265620042</v>
      </c>
      <c r="BX28" s="272">
        <v>8054506984</v>
      </c>
      <c r="BY28" s="273">
        <v>8054506984</v>
      </c>
      <c r="BZ28" s="273"/>
      <c r="CA28" s="273"/>
      <c r="CB28" s="273"/>
      <c r="CC28" s="273"/>
      <c r="CD28" s="273"/>
      <c r="CE28" s="273"/>
      <c r="CF28" s="273"/>
      <c r="CG28" s="273"/>
      <c r="CH28" s="273"/>
      <c r="CI28" s="273"/>
      <c r="CJ28" s="273"/>
      <c r="CK28" s="274">
        <v>8054506984</v>
      </c>
      <c r="CL28" s="274"/>
      <c r="CM28" s="274"/>
      <c r="CN28" s="274"/>
      <c r="CO28" s="156">
        <f t="shared" si="1"/>
        <v>12969456534</v>
      </c>
      <c r="CP28" s="291">
        <f t="shared" si="2"/>
        <v>4.459166194125181E-2</v>
      </c>
      <c r="CQ28" s="291">
        <f t="shared" si="3"/>
        <v>1.1553762354880213</v>
      </c>
      <c r="CR28" s="291">
        <f t="shared" si="4"/>
        <v>1.0445916619412519</v>
      </c>
    </row>
    <row r="29" spans="1:96" s="156" customFormat="1" ht="15.5">
      <c r="A29" s="150" t="str">
        <f t="shared" si="0"/>
        <v>in</v>
      </c>
      <c r="B29" s="151"/>
      <c r="C29" s="152" t="s">
        <v>170</v>
      </c>
      <c r="D29" s="176">
        <v>231346666296</v>
      </c>
      <c r="E29" s="176">
        <v>25422073947</v>
      </c>
      <c r="F29" s="176">
        <v>7805180024</v>
      </c>
      <c r="G29" s="176">
        <v>2838392433</v>
      </c>
      <c r="H29" s="176">
        <v>6199087938</v>
      </c>
      <c r="I29" s="176">
        <v>8579413552</v>
      </c>
      <c r="J29" s="176">
        <v>11070737060</v>
      </c>
      <c r="K29" s="176">
        <v>13271538977</v>
      </c>
      <c r="L29" s="176">
        <v>52763714267</v>
      </c>
      <c r="M29" s="176">
        <v>76245376692</v>
      </c>
      <c r="N29" s="176">
        <v>25361766850</v>
      </c>
      <c r="O29" s="176">
        <v>9048980524</v>
      </c>
      <c r="P29" s="176">
        <v>7907134663</v>
      </c>
      <c r="Q29" s="176">
        <v>10255343316</v>
      </c>
      <c r="R29" s="176">
        <v>16842660395</v>
      </c>
      <c r="S29" s="176">
        <v>32921689589</v>
      </c>
      <c r="T29" s="176">
        <v>154370857809</v>
      </c>
      <c r="U29" s="176">
        <v>27211458503</v>
      </c>
      <c r="V29" s="176">
        <v>261223275361.65109</v>
      </c>
      <c r="W29" s="176">
        <v>261223275361.65109</v>
      </c>
      <c r="X29" s="176">
        <v>11818080170.762638</v>
      </c>
      <c r="Y29" s="176">
        <v>6140208113.5541124</v>
      </c>
      <c r="Z29" s="176">
        <v>7895347085.6115074</v>
      </c>
      <c r="AA29" s="176">
        <v>10425089674.818371</v>
      </c>
      <c r="AB29" s="176">
        <v>11081048753.029999</v>
      </c>
      <c r="AC29" s="176">
        <v>10498436550.24102</v>
      </c>
      <c r="AD29" s="176">
        <v>52959890916.165619</v>
      </c>
      <c r="AE29" s="176">
        <v>73292789816.85614</v>
      </c>
      <c r="AF29" s="176">
        <v>50217993690.898232</v>
      </c>
      <c r="AG29" s="176">
        <v>9725276296.2475071</v>
      </c>
      <c r="AH29" s="176">
        <v>8332655142.7789288</v>
      </c>
      <c r="AI29" s="176">
        <v>8836459150.6870365</v>
      </c>
      <c r="AJ29" s="176"/>
      <c r="AK29" s="176">
        <v>25853635369.928257</v>
      </c>
      <c r="AL29" s="176">
        <v>32004574978.08939</v>
      </c>
      <c r="AM29" s="176">
        <v>176470674423.91998</v>
      </c>
      <c r="AN29" s="176">
        <v>26894390589.71347</v>
      </c>
      <c r="AO29" s="160">
        <v>1.1291421637665831</v>
      </c>
      <c r="AP29" s="176">
        <v>267099534221</v>
      </c>
      <c r="AQ29" s="176">
        <v>11723079196</v>
      </c>
      <c r="AR29" s="176">
        <v>6027309576</v>
      </c>
      <c r="AS29" s="176">
        <v>8115781155</v>
      </c>
      <c r="AT29" s="176">
        <v>10067966819</v>
      </c>
      <c r="AU29" s="176">
        <v>10787121764</v>
      </c>
      <c r="AV29" s="176">
        <v>9327814791</v>
      </c>
      <c r="AW29" s="176">
        <v>37875065022</v>
      </c>
      <c r="AX29" s="176">
        <v>68586055201</v>
      </c>
      <c r="AY29" s="176">
        <v>74638812097</v>
      </c>
      <c r="AZ29" s="176">
        <v>10272549090</v>
      </c>
      <c r="BA29" s="176">
        <v>7756915117</v>
      </c>
      <c r="BB29" s="176">
        <v>11921064393</v>
      </c>
      <c r="BC29" s="176">
        <v>25866169927</v>
      </c>
      <c r="BD29" s="176">
        <v>30182903374</v>
      </c>
      <c r="BE29" s="176">
        <v>181099932320</v>
      </c>
      <c r="BF29" s="176">
        <v>29950528600</v>
      </c>
      <c r="BG29" s="273">
        <v>280015516319</v>
      </c>
      <c r="BH29" s="273">
        <v>6755081961</v>
      </c>
      <c r="BI29" s="273">
        <v>7793153910</v>
      </c>
      <c r="BJ29" s="273">
        <v>9188732975</v>
      </c>
      <c r="BK29" s="273">
        <v>11131877837</v>
      </c>
      <c r="BL29" s="273">
        <v>10915233570</v>
      </c>
      <c r="BM29" s="273">
        <v>11732965898</v>
      </c>
      <c r="BN29" s="273">
        <v>45778470589</v>
      </c>
      <c r="BO29" s="273">
        <v>78766092027</v>
      </c>
      <c r="BP29" s="273">
        <v>67791910047</v>
      </c>
      <c r="BQ29" s="298">
        <v>11016993095</v>
      </c>
      <c r="BR29" s="273">
        <v>8161586611</v>
      </c>
      <c r="BS29" s="273">
        <v>10983417799</v>
      </c>
      <c r="BT29" s="176">
        <v>23736968846</v>
      </c>
      <c r="BU29" s="176">
        <v>33780077305</v>
      </c>
      <c r="BV29" s="176">
        <v>192336472663</v>
      </c>
      <c r="BW29" s="176">
        <v>30161997505</v>
      </c>
      <c r="BX29" s="272">
        <v>7325483177</v>
      </c>
      <c r="BY29" s="273">
        <v>7325483177</v>
      </c>
      <c r="BZ29" s="273"/>
      <c r="CA29" s="273"/>
      <c r="CB29" s="273"/>
      <c r="CC29" s="273"/>
      <c r="CD29" s="273"/>
      <c r="CE29" s="273"/>
      <c r="CF29" s="273"/>
      <c r="CG29" s="273"/>
      <c r="CH29" s="273"/>
      <c r="CI29" s="273"/>
      <c r="CJ29" s="273"/>
      <c r="CK29" s="274">
        <v>7325483177</v>
      </c>
      <c r="CL29" s="274"/>
      <c r="CM29" s="274"/>
      <c r="CN29" s="274"/>
      <c r="CO29" s="156">
        <f t="shared" si="1"/>
        <v>12915982098</v>
      </c>
      <c r="CP29" s="291">
        <f t="shared" si="2"/>
        <v>4.8356438118357881E-2</v>
      </c>
      <c r="CQ29" s="291">
        <f t="shared" si="3"/>
        <v>1.1545423951744151</v>
      </c>
      <c r="CR29" s="291">
        <f t="shared" si="4"/>
        <v>1.0483564381183579</v>
      </c>
    </row>
    <row r="30" spans="1:96" s="161" customFormat="1" ht="15.5" hidden="1" outlineLevel="1">
      <c r="A30" s="150" t="str">
        <f t="shared" si="0"/>
        <v>in</v>
      </c>
      <c r="B30" s="150"/>
      <c r="C30" s="157" t="s">
        <v>171</v>
      </c>
      <c r="D30" s="175">
        <v>68316845843</v>
      </c>
      <c r="E30" s="177">
        <v>15579102828</v>
      </c>
      <c r="F30" s="177">
        <v>5420218210</v>
      </c>
      <c r="G30" s="177">
        <v>1416906756</v>
      </c>
      <c r="H30" s="177">
        <v>4347889639</v>
      </c>
      <c r="I30" s="177">
        <v>4394088223</v>
      </c>
      <c r="J30" s="177">
        <v>5107226643</v>
      </c>
      <c r="K30" s="177">
        <v>5027790863</v>
      </c>
      <c r="L30" s="177">
        <v>5763730719</v>
      </c>
      <c r="M30" s="177">
        <v>10219811699</v>
      </c>
      <c r="N30" s="177">
        <v>6420416282</v>
      </c>
      <c r="O30" s="177">
        <v>6795766086</v>
      </c>
      <c r="P30" s="177">
        <v>5554039682</v>
      </c>
      <c r="Q30" s="177">
        <v>7848961041</v>
      </c>
      <c r="R30" s="177">
        <v>11185014605</v>
      </c>
      <c r="S30" s="177">
        <v>14529105729</v>
      </c>
      <c r="T30" s="177">
        <v>22403958700</v>
      </c>
      <c r="U30" s="177">
        <v>20198766809</v>
      </c>
      <c r="V30" s="177">
        <v>73039101703.334244</v>
      </c>
      <c r="W30" s="177">
        <v>73039101703.334244</v>
      </c>
      <c r="X30" s="177">
        <v>4424899261.7626371</v>
      </c>
      <c r="Y30" s="177">
        <v>4357855333.5541124</v>
      </c>
      <c r="Z30" s="177">
        <v>5497602113.0990343</v>
      </c>
      <c r="AA30" s="177">
        <v>5363514256.6819849</v>
      </c>
      <c r="AB30" s="177">
        <v>5363514256.6819849</v>
      </c>
      <c r="AC30" s="177">
        <v>5028294615.6393604</v>
      </c>
      <c r="AD30" s="177">
        <v>5627811965.1203041</v>
      </c>
      <c r="AE30" s="177">
        <v>10372418850.342445</v>
      </c>
      <c r="AF30" s="177">
        <v>8096803295.6483822</v>
      </c>
      <c r="AG30" s="177">
        <v>6033953538.7672329</v>
      </c>
      <c r="AH30" s="177">
        <v>5698733897.7246094</v>
      </c>
      <c r="AI30" s="177">
        <v>7173700318.3121548</v>
      </c>
      <c r="AJ30" s="177"/>
      <c r="AK30" s="177">
        <v>14280356708.415783</v>
      </c>
      <c r="AL30" s="177">
        <v>15755323129.00333</v>
      </c>
      <c r="AM30" s="177">
        <v>24097034111.11113</v>
      </c>
      <c r="AN30" s="177">
        <v>18906387754.803997</v>
      </c>
      <c r="AO30" s="160">
        <v>1.0691228613098815</v>
      </c>
      <c r="AP30" s="177">
        <v>73476365552</v>
      </c>
      <c r="AQ30" s="177">
        <v>4333616469</v>
      </c>
      <c r="AR30" s="177">
        <v>4241238614</v>
      </c>
      <c r="AS30" s="177">
        <v>6391646649</v>
      </c>
      <c r="AT30" s="177">
        <v>4881923313</v>
      </c>
      <c r="AU30" s="177">
        <v>5436790975</v>
      </c>
      <c r="AV30" s="177">
        <v>4340558601</v>
      </c>
      <c r="AW30" s="177">
        <v>5575131561</v>
      </c>
      <c r="AX30" s="177">
        <v>8264495546</v>
      </c>
      <c r="AY30" s="177">
        <v>7169507126</v>
      </c>
      <c r="AZ30" s="177">
        <v>7755543597</v>
      </c>
      <c r="BA30" s="177">
        <v>6002542391</v>
      </c>
      <c r="BB30" s="177">
        <v>9083370710</v>
      </c>
      <c r="BC30" s="177">
        <v>14966501732</v>
      </c>
      <c r="BD30" s="177">
        <v>14659272889</v>
      </c>
      <c r="BE30" s="177">
        <v>21009134233</v>
      </c>
      <c r="BF30" s="177">
        <v>22841456698</v>
      </c>
      <c r="BG30" s="270">
        <v>75638268099</v>
      </c>
      <c r="BH30" s="270">
        <v>5063870958</v>
      </c>
      <c r="BI30" s="270">
        <v>2422492564</v>
      </c>
      <c r="BJ30" s="270">
        <v>6510691233</v>
      </c>
      <c r="BK30" s="270">
        <v>5063870958</v>
      </c>
      <c r="BL30" s="270">
        <v>5282756790</v>
      </c>
      <c r="BM30" s="270">
        <v>5063870958</v>
      </c>
      <c r="BN30" s="270">
        <v>6840416674</v>
      </c>
      <c r="BO30" s="270">
        <v>9123472526</v>
      </c>
      <c r="BP30" s="270">
        <v>8816783484</v>
      </c>
      <c r="BQ30" s="299">
        <v>7234101369</v>
      </c>
      <c r="BR30" s="270">
        <v>5535018942</v>
      </c>
      <c r="BS30" s="270">
        <v>8680921643</v>
      </c>
      <c r="BT30" s="177">
        <v>13997054755</v>
      </c>
      <c r="BU30" s="177">
        <v>15410498706</v>
      </c>
      <c r="BV30" s="177">
        <v>24780672684</v>
      </c>
      <c r="BW30" s="177">
        <v>21450041954</v>
      </c>
      <c r="BX30" s="269">
        <v>5634272173</v>
      </c>
      <c r="BY30" s="270">
        <v>5634272173</v>
      </c>
      <c r="BZ30" s="270"/>
      <c r="CA30" s="270"/>
      <c r="CB30" s="270"/>
      <c r="CC30" s="270"/>
      <c r="CD30" s="270"/>
      <c r="CE30" s="270"/>
      <c r="CF30" s="270"/>
      <c r="CG30" s="270"/>
      <c r="CH30" s="270"/>
      <c r="CI30" s="270"/>
      <c r="CJ30" s="270"/>
      <c r="CK30" s="271">
        <v>5634272173</v>
      </c>
      <c r="CL30" s="271"/>
      <c r="CM30" s="271"/>
      <c r="CN30" s="271"/>
      <c r="CO30" s="156">
        <f t="shared" si="1"/>
        <v>2161902547</v>
      </c>
      <c r="CP30" s="291">
        <f t="shared" si="2"/>
        <v>2.9423101302826399E-2</v>
      </c>
      <c r="CQ30" s="291">
        <f t="shared" si="3"/>
        <v>1.075523388782573</v>
      </c>
      <c r="CR30" s="291">
        <f t="shared" si="4"/>
        <v>1.0294231013028263</v>
      </c>
    </row>
    <row r="31" spans="1:96" s="161" customFormat="1" ht="15.5" hidden="1" outlineLevel="2">
      <c r="A31" s="150" t="str">
        <f t="shared" si="0"/>
        <v>in</v>
      </c>
      <c r="B31" s="150"/>
      <c r="C31" s="168" t="s">
        <v>276</v>
      </c>
      <c r="D31" s="175">
        <v>62963585843</v>
      </c>
      <c r="E31" s="177">
        <v>15579102828</v>
      </c>
      <c r="F31" s="177">
        <v>5420218210</v>
      </c>
      <c r="G31" s="177">
        <v>1416906756</v>
      </c>
      <c r="H31" s="177">
        <v>4347889639</v>
      </c>
      <c r="I31" s="177">
        <v>4394088223</v>
      </c>
      <c r="J31" s="177">
        <v>5107226643</v>
      </c>
      <c r="K31" s="177">
        <v>4662480863</v>
      </c>
      <c r="L31" s="177">
        <v>5575750719</v>
      </c>
      <c r="M31" s="177">
        <v>6602741699</v>
      </c>
      <c r="N31" s="177">
        <v>5237516282</v>
      </c>
      <c r="O31" s="177">
        <v>6795766086</v>
      </c>
      <c r="P31" s="177">
        <v>5554039682</v>
      </c>
      <c r="Q31" s="177">
        <v>7848961041</v>
      </c>
      <c r="R31" s="177">
        <v>11185014605</v>
      </c>
      <c r="S31" s="177">
        <v>14163795729</v>
      </c>
      <c r="T31" s="177">
        <v>17416008700</v>
      </c>
      <c r="U31" s="177">
        <v>20198766809</v>
      </c>
      <c r="V31" s="177">
        <v>67043928208.524811</v>
      </c>
      <c r="W31" s="177">
        <v>67043928208.524811</v>
      </c>
      <c r="X31" s="177">
        <v>4424899261.7626371</v>
      </c>
      <c r="Y31" s="177">
        <v>4357855333.5541124</v>
      </c>
      <c r="Z31" s="177">
        <v>5497602113.0990343</v>
      </c>
      <c r="AA31" s="177">
        <v>5363514256.6819849</v>
      </c>
      <c r="AB31" s="177">
        <v>5363514256.6819849</v>
      </c>
      <c r="AC31" s="177">
        <v>5028294615.6393604</v>
      </c>
      <c r="AD31" s="177">
        <v>5028294615.6393604</v>
      </c>
      <c r="AE31" s="177">
        <v>7374832102.9377279</v>
      </c>
      <c r="AF31" s="177">
        <v>5698733897.7246094</v>
      </c>
      <c r="AG31" s="177">
        <v>6033953538.7672329</v>
      </c>
      <c r="AH31" s="177">
        <v>5698733897.7246094</v>
      </c>
      <c r="AI31" s="177">
        <v>7173700318.3121548</v>
      </c>
      <c r="AJ31" s="177"/>
      <c r="AK31" s="177">
        <v>14280356708.415783</v>
      </c>
      <c r="AL31" s="177">
        <v>15755323129.00333</v>
      </c>
      <c r="AM31" s="177">
        <v>18101860616.301697</v>
      </c>
      <c r="AN31" s="177">
        <v>18906387754.803997</v>
      </c>
      <c r="AO31" s="160">
        <v>1.0648047964691714</v>
      </c>
      <c r="AP31" s="177">
        <v>70279141552</v>
      </c>
      <c r="AQ31" s="177">
        <v>4333616469</v>
      </c>
      <c r="AR31" s="177">
        <v>4241238614</v>
      </c>
      <c r="AS31" s="177">
        <v>6391646649</v>
      </c>
      <c r="AT31" s="177">
        <v>4881923313</v>
      </c>
      <c r="AU31" s="177">
        <v>5436790975</v>
      </c>
      <c r="AV31" s="177">
        <v>4340558601</v>
      </c>
      <c r="AW31" s="177">
        <v>5270931561</v>
      </c>
      <c r="AX31" s="228">
        <v>7088480546</v>
      </c>
      <c r="AY31" s="228">
        <v>5452498126</v>
      </c>
      <c r="AZ31" s="177">
        <v>7755543597</v>
      </c>
      <c r="BA31" s="177">
        <v>6002542391</v>
      </c>
      <c r="BB31" s="177">
        <v>9083370710</v>
      </c>
      <c r="BC31" s="177">
        <v>14966501732</v>
      </c>
      <c r="BD31" s="177">
        <v>14659272889</v>
      </c>
      <c r="BE31" s="177">
        <v>17811910233</v>
      </c>
      <c r="BF31" s="177">
        <v>22841456698</v>
      </c>
      <c r="BG31" s="270">
        <v>72341013692</v>
      </c>
      <c r="BH31" s="270">
        <v>5063870958</v>
      </c>
      <c r="BI31" s="270">
        <v>2422492564</v>
      </c>
      <c r="BJ31" s="270">
        <v>6510691233</v>
      </c>
      <c r="BK31" s="270">
        <v>5063870958</v>
      </c>
      <c r="BL31" s="270">
        <v>5282756790</v>
      </c>
      <c r="BM31" s="270">
        <v>5063870958</v>
      </c>
      <c r="BN31" s="270">
        <v>6510691233</v>
      </c>
      <c r="BO31" s="270">
        <v>7738625675</v>
      </c>
      <c r="BP31" s="270">
        <v>7234101369</v>
      </c>
      <c r="BQ31" s="299">
        <v>7234101369</v>
      </c>
      <c r="BR31" s="270">
        <v>5535018942</v>
      </c>
      <c r="BS31" s="270">
        <v>8680921643</v>
      </c>
      <c r="BT31" s="177">
        <v>13997054755</v>
      </c>
      <c r="BU31" s="177">
        <v>15410498706</v>
      </c>
      <c r="BV31" s="177">
        <v>21483418277</v>
      </c>
      <c r="BW31" s="177">
        <v>21450041954</v>
      </c>
      <c r="BX31" s="269">
        <v>5634272173</v>
      </c>
      <c r="BY31" s="270">
        <v>5634272173</v>
      </c>
      <c r="BZ31" s="270"/>
      <c r="CA31" s="270"/>
      <c r="CB31" s="270"/>
      <c r="CC31" s="270"/>
      <c r="CD31" s="270"/>
      <c r="CE31" s="270"/>
      <c r="CF31" s="270"/>
      <c r="CG31" s="270"/>
      <c r="CH31" s="270"/>
      <c r="CI31" s="270"/>
      <c r="CJ31" s="270"/>
      <c r="CK31" s="271">
        <v>5634272173</v>
      </c>
      <c r="CL31" s="271"/>
      <c r="CM31" s="271"/>
      <c r="CN31" s="271"/>
      <c r="CO31" s="156">
        <f t="shared" si="1"/>
        <v>2061872140</v>
      </c>
      <c r="CP31" s="291">
        <f t="shared" si="2"/>
        <v>2.933832278634774E-2</v>
      </c>
      <c r="CQ31" s="291">
        <f t="shared" si="3"/>
        <v>1.1161870883154807</v>
      </c>
      <c r="CR31" s="291">
        <f t="shared" si="4"/>
        <v>1.0293383227863477</v>
      </c>
    </row>
    <row r="32" spans="1:96" s="161" customFormat="1" ht="15.5" hidden="1" outlineLevel="2">
      <c r="A32" s="150" t="str">
        <f t="shared" si="0"/>
        <v>in</v>
      </c>
      <c r="B32" s="150"/>
      <c r="C32" s="168" t="s">
        <v>277</v>
      </c>
      <c r="D32" s="175">
        <v>5353260000</v>
      </c>
      <c r="E32" s="177">
        <v>0</v>
      </c>
      <c r="F32" s="177">
        <v>0</v>
      </c>
      <c r="G32" s="177">
        <v>0</v>
      </c>
      <c r="H32" s="177">
        <v>0</v>
      </c>
      <c r="I32" s="177">
        <v>0</v>
      </c>
      <c r="J32" s="177">
        <v>0</v>
      </c>
      <c r="K32" s="177">
        <v>365310000</v>
      </c>
      <c r="L32" s="177">
        <v>187979999.99999997</v>
      </c>
      <c r="M32" s="177">
        <v>3617070000</v>
      </c>
      <c r="N32" s="177">
        <v>1182900000</v>
      </c>
      <c r="O32" s="177">
        <v>0</v>
      </c>
      <c r="P32" s="177">
        <v>0</v>
      </c>
      <c r="Q32" s="177">
        <v>0</v>
      </c>
      <c r="R32" s="177">
        <v>0</v>
      </c>
      <c r="S32" s="177">
        <v>365310000</v>
      </c>
      <c r="T32" s="177">
        <v>4987950000</v>
      </c>
      <c r="U32" s="177">
        <v>0</v>
      </c>
      <c r="V32" s="177">
        <v>5995173494.809433</v>
      </c>
      <c r="W32" s="177">
        <v>5995173494.809433</v>
      </c>
      <c r="X32" s="177">
        <v>0</v>
      </c>
      <c r="Y32" s="177">
        <v>0</v>
      </c>
      <c r="Z32" s="177">
        <v>0</v>
      </c>
      <c r="AA32" s="177">
        <v>0</v>
      </c>
      <c r="AB32" s="177">
        <v>0</v>
      </c>
      <c r="AC32" s="177">
        <v>0</v>
      </c>
      <c r="AD32" s="177">
        <v>599517349.48094332</v>
      </c>
      <c r="AE32" s="177">
        <v>2997586747.4047165</v>
      </c>
      <c r="AF32" s="177">
        <v>2398069397.9237733</v>
      </c>
      <c r="AG32" s="177">
        <v>0</v>
      </c>
      <c r="AH32" s="177">
        <v>0</v>
      </c>
      <c r="AI32" s="177">
        <v>0</v>
      </c>
      <c r="AJ32" s="177"/>
      <c r="AK32" s="177">
        <v>0</v>
      </c>
      <c r="AL32" s="177">
        <v>0</v>
      </c>
      <c r="AM32" s="177">
        <v>5995173494.809433</v>
      </c>
      <c r="AN32" s="177">
        <v>0</v>
      </c>
      <c r="AO32" s="160">
        <v>1.1199107636859471</v>
      </c>
      <c r="AP32" s="177">
        <v>3197224000</v>
      </c>
      <c r="AQ32" s="177"/>
      <c r="AR32" s="177"/>
      <c r="AS32" s="177"/>
      <c r="AT32" s="177"/>
      <c r="AU32" s="177"/>
      <c r="AV32" s="177"/>
      <c r="AW32" s="177">
        <v>304200000</v>
      </c>
      <c r="AX32" s="228">
        <v>1176015000</v>
      </c>
      <c r="AY32" s="228">
        <v>1717009000</v>
      </c>
      <c r="AZ32" s="177"/>
      <c r="BA32" s="177"/>
      <c r="BB32" s="177"/>
      <c r="BC32" s="177">
        <v>0</v>
      </c>
      <c r="BD32" s="177">
        <v>0</v>
      </c>
      <c r="BE32" s="177">
        <v>3197224000</v>
      </c>
      <c r="BF32" s="177">
        <v>0</v>
      </c>
      <c r="BG32" s="270">
        <v>3297254407</v>
      </c>
      <c r="BH32" s="270">
        <v>0</v>
      </c>
      <c r="BI32" s="270">
        <v>0</v>
      </c>
      <c r="BJ32" s="270">
        <v>0</v>
      </c>
      <c r="BK32" s="270">
        <v>0</v>
      </c>
      <c r="BL32" s="270">
        <v>0</v>
      </c>
      <c r="BM32" s="270">
        <v>0</v>
      </c>
      <c r="BN32" s="270">
        <v>329725441</v>
      </c>
      <c r="BO32" s="270">
        <v>1384846851</v>
      </c>
      <c r="BP32" s="270">
        <v>1582682115</v>
      </c>
      <c r="BQ32" s="299">
        <v>0</v>
      </c>
      <c r="BR32" s="270">
        <v>0</v>
      </c>
      <c r="BS32" s="270">
        <v>0</v>
      </c>
      <c r="BT32" s="177">
        <v>0</v>
      </c>
      <c r="BU32" s="177">
        <v>0</v>
      </c>
      <c r="BV32" s="177">
        <v>3297254407</v>
      </c>
      <c r="BW32" s="177">
        <v>0</v>
      </c>
      <c r="BX32" s="269">
        <v>0</v>
      </c>
      <c r="BY32" s="270"/>
      <c r="BZ32" s="270"/>
      <c r="CA32" s="270"/>
      <c r="CB32" s="270"/>
      <c r="CC32" s="270"/>
      <c r="CD32" s="270"/>
      <c r="CE32" s="270"/>
      <c r="CF32" s="270"/>
      <c r="CG32" s="270"/>
      <c r="CH32" s="270"/>
      <c r="CI32" s="270"/>
      <c r="CJ32" s="270"/>
      <c r="CK32" s="271"/>
      <c r="CL32" s="271"/>
      <c r="CM32" s="271"/>
      <c r="CN32" s="271"/>
      <c r="CO32" s="156">
        <f t="shared" si="1"/>
        <v>100030407</v>
      </c>
      <c r="CP32" s="291">
        <f t="shared" si="2"/>
        <v>3.1286643350606651E-2</v>
      </c>
      <c r="CQ32" s="291">
        <f t="shared" si="3"/>
        <v>0.59724803204028942</v>
      </c>
      <c r="CR32" s="291">
        <f t="shared" si="4"/>
        <v>1.0312866433506067</v>
      </c>
    </row>
    <row r="33" spans="1:96" s="161" customFormat="1" ht="15.5" hidden="1" outlineLevel="1">
      <c r="A33" s="150" t="str">
        <f t="shared" si="0"/>
        <v>in</v>
      </c>
      <c r="B33" s="150"/>
      <c r="C33" s="157" t="s">
        <v>172</v>
      </c>
      <c r="D33" s="175">
        <v>162124694873</v>
      </c>
      <c r="E33" s="177">
        <v>9842971119</v>
      </c>
      <c r="F33" s="177">
        <v>2384961814</v>
      </c>
      <c r="G33" s="177">
        <v>1421485677</v>
      </c>
      <c r="H33" s="177">
        <v>1851198299</v>
      </c>
      <c r="I33" s="177">
        <v>4185325329</v>
      </c>
      <c r="J33" s="177">
        <v>5962494816</v>
      </c>
      <c r="K33" s="177">
        <v>8241124478</v>
      </c>
      <c r="L33" s="177">
        <v>46997359912</v>
      </c>
      <c r="M33" s="177">
        <v>66022941357</v>
      </c>
      <c r="N33" s="177">
        <v>18938726932</v>
      </c>
      <c r="O33" s="177">
        <v>2249496256</v>
      </c>
      <c r="P33" s="177">
        <v>2349376799</v>
      </c>
      <c r="Q33" s="177">
        <v>1520203204</v>
      </c>
      <c r="R33" s="177">
        <v>5657645790</v>
      </c>
      <c r="S33" s="177">
        <v>18388944623</v>
      </c>
      <c r="T33" s="177">
        <v>131959028201</v>
      </c>
      <c r="U33" s="177">
        <v>6119076259</v>
      </c>
      <c r="V33" s="177">
        <v>182769043741.31686</v>
      </c>
      <c r="W33" s="177">
        <v>182769043741.31686</v>
      </c>
      <c r="X33" s="177">
        <v>2182543104</v>
      </c>
      <c r="Y33" s="177">
        <v>1615042488</v>
      </c>
      <c r="Z33" s="177">
        <v>2394026790.5124736</v>
      </c>
      <c r="AA33" s="177">
        <v>5057857236.1363859</v>
      </c>
      <c r="AB33" s="177">
        <v>5713816314.3480129</v>
      </c>
      <c r="AC33" s="177">
        <v>5466423752.6016588</v>
      </c>
      <c r="AD33" s="177">
        <v>47328360769.045311</v>
      </c>
      <c r="AE33" s="177">
        <v>62916652784.513695</v>
      </c>
      <c r="AF33" s="177">
        <v>42117472213.249847</v>
      </c>
      <c r="AG33" s="177">
        <v>3687604575.4802737</v>
      </c>
      <c r="AH33" s="177">
        <v>2630203063.0543189</v>
      </c>
      <c r="AI33" s="177">
        <v>1659040650.3748822</v>
      </c>
      <c r="AJ33" s="177"/>
      <c r="AK33" s="177">
        <v>6191612382.5124741</v>
      </c>
      <c r="AL33" s="177">
        <v>16238097303.086056</v>
      </c>
      <c r="AM33" s="177">
        <v>152362485766.80884</v>
      </c>
      <c r="AN33" s="177">
        <v>7976848288.9094753</v>
      </c>
      <c r="AO33" s="160">
        <v>1.1273362388406563</v>
      </c>
      <c r="AP33" s="177">
        <v>187311821217</v>
      </c>
      <c r="AQ33" s="177">
        <v>2182543104</v>
      </c>
      <c r="AR33" s="177">
        <v>1615042488</v>
      </c>
      <c r="AS33" s="177">
        <v>1720416324</v>
      </c>
      <c r="AT33" s="177">
        <v>5182325324</v>
      </c>
      <c r="AU33" s="177">
        <v>5346612607</v>
      </c>
      <c r="AV33" s="177">
        <v>4983538008</v>
      </c>
      <c r="AW33" s="177">
        <v>32296215279</v>
      </c>
      <c r="AX33" s="177">
        <v>60317841473</v>
      </c>
      <c r="AY33" s="177">
        <v>67462076789</v>
      </c>
      <c r="AZ33" s="177">
        <v>2509777311</v>
      </c>
      <c r="BA33" s="177">
        <v>1736029544</v>
      </c>
      <c r="BB33" s="177">
        <v>1959402966</v>
      </c>
      <c r="BC33" s="177">
        <v>5518001916</v>
      </c>
      <c r="BD33" s="177">
        <v>15512475939</v>
      </c>
      <c r="BE33" s="177">
        <v>160076133541</v>
      </c>
      <c r="BF33" s="177">
        <v>6205209821</v>
      </c>
      <c r="BG33" s="270">
        <v>200712789719</v>
      </c>
      <c r="BH33" s="270">
        <v>1683982821</v>
      </c>
      <c r="BI33" s="270">
        <v>1785712847</v>
      </c>
      <c r="BJ33" s="270">
        <v>2670813560</v>
      </c>
      <c r="BK33" s="270">
        <v>6060778697</v>
      </c>
      <c r="BL33" s="270">
        <v>5625248598</v>
      </c>
      <c r="BM33" s="270">
        <v>6661866758</v>
      </c>
      <c r="BN33" s="270">
        <v>38930825733</v>
      </c>
      <c r="BO33" s="270">
        <v>69635391319</v>
      </c>
      <c r="BP33" s="270">
        <v>58967898381</v>
      </c>
      <c r="BQ33" s="299">
        <v>3775663544</v>
      </c>
      <c r="BR33" s="270">
        <v>2619339487</v>
      </c>
      <c r="BS33" s="270">
        <v>2295267974</v>
      </c>
      <c r="BT33" s="177">
        <v>6140509228</v>
      </c>
      <c r="BU33" s="177">
        <v>18347894053</v>
      </c>
      <c r="BV33" s="177">
        <v>167534115433</v>
      </c>
      <c r="BW33" s="177">
        <v>8690271005</v>
      </c>
      <c r="BX33" s="269">
        <v>1683982822</v>
      </c>
      <c r="BY33" s="270">
        <v>1683982822</v>
      </c>
      <c r="BZ33" s="270"/>
      <c r="CA33" s="270"/>
      <c r="CB33" s="270"/>
      <c r="CC33" s="270"/>
      <c r="CD33" s="270"/>
      <c r="CE33" s="270"/>
      <c r="CF33" s="270"/>
      <c r="CG33" s="270"/>
      <c r="CH33" s="270"/>
      <c r="CI33" s="270"/>
      <c r="CJ33" s="270"/>
      <c r="CK33" s="271">
        <v>1683982822</v>
      </c>
      <c r="CL33" s="271"/>
      <c r="CM33" s="271"/>
      <c r="CN33" s="271"/>
      <c r="CO33" s="156">
        <f t="shared" si="1"/>
        <v>13400968502</v>
      </c>
      <c r="CP33" s="291">
        <f t="shared" si="2"/>
        <v>7.1543634645861623E-2</v>
      </c>
      <c r="CQ33" s="291">
        <f t="shared" si="3"/>
        <v>1.1553565073089591</v>
      </c>
      <c r="CR33" s="291">
        <f t="shared" si="4"/>
        <v>1.0715436346458616</v>
      </c>
    </row>
    <row r="34" spans="1:96" s="161" customFormat="1" ht="15.5" hidden="1" outlineLevel="2">
      <c r="A34" s="150" t="str">
        <f t="shared" si="0"/>
        <v>in</v>
      </c>
      <c r="B34" s="178"/>
      <c r="C34" s="168" t="s">
        <v>278</v>
      </c>
      <c r="D34" s="175">
        <v>38429827473</v>
      </c>
      <c r="E34" s="177">
        <v>9842971119</v>
      </c>
      <c r="F34" s="177">
        <v>2384961814</v>
      </c>
      <c r="G34" s="177">
        <v>1421485677</v>
      </c>
      <c r="H34" s="177">
        <v>1851198299</v>
      </c>
      <c r="I34" s="177">
        <v>4185325329</v>
      </c>
      <c r="J34" s="177">
        <v>5962494816</v>
      </c>
      <c r="K34" s="177">
        <v>3734074678</v>
      </c>
      <c r="L34" s="177">
        <v>6173012712</v>
      </c>
      <c r="M34" s="177">
        <v>4095632227</v>
      </c>
      <c r="N34" s="177">
        <v>2502567662</v>
      </c>
      <c r="O34" s="177">
        <v>2249496256</v>
      </c>
      <c r="P34" s="177">
        <v>2349376799</v>
      </c>
      <c r="Q34" s="177">
        <v>1520201204</v>
      </c>
      <c r="R34" s="177">
        <v>5657645790</v>
      </c>
      <c r="S34" s="177">
        <v>13881894823</v>
      </c>
      <c r="T34" s="177">
        <v>12771212601</v>
      </c>
      <c r="U34" s="177">
        <v>6119074259</v>
      </c>
      <c r="V34" s="177">
        <v>44842175991.00634</v>
      </c>
      <c r="W34" s="177">
        <v>44842175991.00634</v>
      </c>
      <c r="X34" s="177">
        <v>2182543104</v>
      </c>
      <c r="Y34" s="177">
        <v>1615042488</v>
      </c>
      <c r="Z34" s="177">
        <v>2394026790.5124736</v>
      </c>
      <c r="AA34" s="177">
        <v>5057857236.1363859</v>
      </c>
      <c r="AB34" s="177">
        <v>5713816314.3480129</v>
      </c>
      <c r="AC34" s="177">
        <v>5466423752.6016588</v>
      </c>
      <c r="AD34" s="177">
        <v>6339744562.3971653</v>
      </c>
      <c r="AE34" s="177">
        <v>4909479505.694272</v>
      </c>
      <c r="AF34" s="177">
        <v>3186393948.406898</v>
      </c>
      <c r="AG34" s="177">
        <v>3687604575.4802737</v>
      </c>
      <c r="AH34" s="177">
        <v>2630203063.0543189</v>
      </c>
      <c r="AI34" s="177">
        <v>1659040650.3748822</v>
      </c>
      <c r="AJ34" s="177"/>
      <c r="AK34" s="177">
        <v>6191612382.5124741</v>
      </c>
      <c r="AL34" s="177">
        <v>16238097303.086056</v>
      </c>
      <c r="AM34" s="177">
        <v>14435618016.498337</v>
      </c>
      <c r="AN34" s="177">
        <v>7976848288.9094753</v>
      </c>
      <c r="AO34" s="160">
        <v>1.1668586340261746</v>
      </c>
      <c r="AP34" s="177">
        <v>41614188377</v>
      </c>
      <c r="AQ34" s="177">
        <v>2182543104</v>
      </c>
      <c r="AR34" s="177">
        <v>1615042488</v>
      </c>
      <c r="AS34" s="179">
        <v>1720416324</v>
      </c>
      <c r="AT34" s="177">
        <v>5182325324</v>
      </c>
      <c r="AU34" s="177">
        <v>5346612607</v>
      </c>
      <c r="AV34" s="177">
        <v>4983538008</v>
      </c>
      <c r="AW34" s="177">
        <v>4920500399</v>
      </c>
      <c r="AX34" s="228">
        <v>5367856213</v>
      </c>
      <c r="AY34" s="228">
        <v>4099418489</v>
      </c>
      <c r="AZ34" s="177">
        <v>2500502911</v>
      </c>
      <c r="BA34" s="177">
        <v>1736029544</v>
      </c>
      <c r="BB34" s="177">
        <v>1959402966</v>
      </c>
      <c r="BC34" s="177">
        <v>5518001916</v>
      </c>
      <c r="BD34" s="177">
        <v>15512475939</v>
      </c>
      <c r="BE34" s="177">
        <v>14387775101</v>
      </c>
      <c r="BF34" s="177">
        <v>6195935421</v>
      </c>
      <c r="BG34" s="270">
        <v>51370227920</v>
      </c>
      <c r="BH34" s="270">
        <v>1683982821</v>
      </c>
      <c r="BI34" s="270">
        <v>1785712847</v>
      </c>
      <c r="BJ34" s="270">
        <v>2670813560</v>
      </c>
      <c r="BK34" s="270">
        <v>6060778697</v>
      </c>
      <c r="BL34" s="270">
        <v>5625248598</v>
      </c>
      <c r="BM34" s="270">
        <v>6661866758</v>
      </c>
      <c r="BN34" s="270">
        <v>6460980595</v>
      </c>
      <c r="BO34" s="270">
        <v>6911515363</v>
      </c>
      <c r="BP34" s="270">
        <v>4819057676</v>
      </c>
      <c r="BQ34" s="299">
        <v>3775663544</v>
      </c>
      <c r="BR34" s="270">
        <v>2619339487</v>
      </c>
      <c r="BS34" s="270">
        <v>2295267974</v>
      </c>
      <c r="BT34" s="177">
        <v>6140509228</v>
      </c>
      <c r="BU34" s="177">
        <v>18347894053</v>
      </c>
      <c r="BV34" s="177">
        <v>18191553634</v>
      </c>
      <c r="BW34" s="177">
        <v>8690271005</v>
      </c>
      <c r="BX34" s="269">
        <v>1683982822</v>
      </c>
      <c r="BY34" s="270">
        <v>1683982822</v>
      </c>
      <c r="BZ34" s="270"/>
      <c r="CA34" s="270"/>
      <c r="CB34" s="270"/>
      <c r="CC34" s="270"/>
      <c r="CD34" s="270"/>
      <c r="CE34" s="270"/>
      <c r="CF34" s="270"/>
      <c r="CG34" s="270"/>
      <c r="CH34" s="270"/>
      <c r="CI34" s="270"/>
      <c r="CJ34" s="270"/>
      <c r="CK34" s="271">
        <v>1683982822</v>
      </c>
      <c r="CL34" s="271"/>
      <c r="CM34" s="271"/>
      <c r="CN34" s="271"/>
      <c r="CO34" s="156">
        <f t="shared" si="1"/>
        <v>9756039543</v>
      </c>
      <c r="CP34" s="291">
        <f t="shared" si="2"/>
        <v>0.2344402215565527</v>
      </c>
      <c r="CQ34" s="291">
        <f t="shared" si="3"/>
        <v>1.0828617017923712</v>
      </c>
      <c r="CR34" s="291">
        <f t="shared" si="4"/>
        <v>1.2344402215565526</v>
      </c>
    </row>
    <row r="35" spans="1:96" s="161" customFormat="1" ht="15.5" hidden="1" outlineLevel="2">
      <c r="A35" s="150" t="str">
        <f t="shared" si="0"/>
        <v>in</v>
      </c>
      <c r="B35" s="178"/>
      <c r="C35" s="168" t="s">
        <v>279</v>
      </c>
      <c r="D35" s="175">
        <v>123694865400</v>
      </c>
      <c r="E35" s="177">
        <v>0</v>
      </c>
      <c r="F35" s="177">
        <v>0</v>
      </c>
      <c r="G35" s="177">
        <v>0</v>
      </c>
      <c r="H35" s="177">
        <v>0</v>
      </c>
      <c r="I35" s="177">
        <v>0</v>
      </c>
      <c r="J35" s="177">
        <v>0</v>
      </c>
      <c r="K35" s="177">
        <v>4507049800</v>
      </c>
      <c r="L35" s="177">
        <v>40824347200</v>
      </c>
      <c r="M35" s="177">
        <v>61927309130</v>
      </c>
      <c r="N35" s="177">
        <v>16436159270</v>
      </c>
      <c r="O35" s="177">
        <v>0</v>
      </c>
      <c r="P35" s="177">
        <v>0</v>
      </c>
      <c r="Q35" s="177">
        <v>0</v>
      </c>
      <c r="R35" s="177">
        <v>0</v>
      </c>
      <c r="S35" s="177">
        <v>4507049800</v>
      </c>
      <c r="T35" s="177">
        <v>119187815600</v>
      </c>
      <c r="U35" s="177">
        <v>0</v>
      </c>
      <c r="V35" s="177">
        <v>137926867750.31052</v>
      </c>
      <c r="W35" s="177">
        <v>137926867750.31052</v>
      </c>
      <c r="X35" s="177">
        <v>0</v>
      </c>
      <c r="Y35" s="177">
        <v>0</v>
      </c>
      <c r="Z35" s="177">
        <v>0</v>
      </c>
      <c r="AA35" s="177">
        <v>0</v>
      </c>
      <c r="AB35" s="177">
        <v>0</v>
      </c>
      <c r="AC35" s="177">
        <v>0</v>
      </c>
      <c r="AD35" s="177">
        <v>40988616206.648148</v>
      </c>
      <c r="AE35" s="177">
        <v>58007173278.81942</v>
      </c>
      <c r="AF35" s="177">
        <v>38931078264.842949</v>
      </c>
      <c r="AG35" s="177">
        <v>0</v>
      </c>
      <c r="AH35" s="177">
        <v>0</v>
      </c>
      <c r="AI35" s="177">
        <v>0</v>
      </c>
      <c r="AJ35" s="177"/>
      <c r="AK35" s="177">
        <v>0</v>
      </c>
      <c r="AL35" s="177">
        <v>0</v>
      </c>
      <c r="AM35" s="177">
        <v>137926867750.31052</v>
      </c>
      <c r="AN35" s="177">
        <v>0</v>
      </c>
      <c r="AO35" s="160">
        <v>1.115057341339817</v>
      </c>
      <c r="AP35" s="177">
        <v>145697632840</v>
      </c>
      <c r="AQ35" s="177"/>
      <c r="AR35" s="177"/>
      <c r="AS35" s="179"/>
      <c r="AT35" s="177"/>
      <c r="AU35" s="177"/>
      <c r="AV35" s="177"/>
      <c r="AW35" s="177">
        <v>27375714880</v>
      </c>
      <c r="AX35" s="228">
        <v>54949985260</v>
      </c>
      <c r="AY35" s="228">
        <v>63362658300</v>
      </c>
      <c r="AZ35" s="177">
        <v>9274400</v>
      </c>
      <c r="BA35" s="177"/>
      <c r="BB35" s="177"/>
      <c r="BC35" s="177">
        <v>0</v>
      </c>
      <c r="BD35" s="177">
        <v>0</v>
      </c>
      <c r="BE35" s="177">
        <v>145688358440</v>
      </c>
      <c r="BF35" s="177">
        <v>9274400</v>
      </c>
      <c r="BG35" s="270">
        <v>149342561799</v>
      </c>
      <c r="BH35" s="270">
        <v>0</v>
      </c>
      <c r="BI35" s="270">
        <v>0</v>
      </c>
      <c r="BJ35" s="270">
        <v>0</v>
      </c>
      <c r="BK35" s="270">
        <v>0</v>
      </c>
      <c r="BL35" s="270">
        <v>0</v>
      </c>
      <c r="BM35" s="270">
        <v>0</v>
      </c>
      <c r="BN35" s="270">
        <v>32469845138</v>
      </c>
      <c r="BO35" s="270">
        <v>62723875956</v>
      </c>
      <c r="BP35" s="270">
        <v>54148840705</v>
      </c>
      <c r="BQ35" s="299">
        <v>0</v>
      </c>
      <c r="BR35" s="270">
        <v>0</v>
      </c>
      <c r="BS35" s="270">
        <v>0</v>
      </c>
      <c r="BT35" s="177">
        <v>0</v>
      </c>
      <c r="BU35" s="177">
        <v>0</v>
      </c>
      <c r="BV35" s="177">
        <v>149342561799</v>
      </c>
      <c r="BW35" s="177">
        <v>0</v>
      </c>
      <c r="BX35" s="269">
        <v>0</v>
      </c>
      <c r="BY35" s="270"/>
      <c r="BZ35" s="270"/>
      <c r="CA35" s="270"/>
      <c r="CB35" s="270"/>
      <c r="CC35" s="270"/>
      <c r="CD35" s="270"/>
      <c r="CE35" s="270"/>
      <c r="CF35" s="270"/>
      <c r="CG35" s="270"/>
      <c r="CH35" s="270"/>
      <c r="CI35" s="270"/>
      <c r="CJ35" s="270"/>
      <c r="CK35" s="271"/>
      <c r="CL35" s="271"/>
      <c r="CM35" s="271"/>
      <c r="CN35" s="271"/>
      <c r="CO35" s="156">
        <f t="shared" si="1"/>
        <v>3644928959</v>
      </c>
      <c r="CP35" s="291">
        <f t="shared" si="2"/>
        <v>2.5017077408544669E-2</v>
      </c>
      <c r="CQ35" s="291">
        <f t="shared" si="3"/>
        <v>1.1778793919120913</v>
      </c>
      <c r="CR35" s="291">
        <f t="shared" si="4"/>
        <v>1.0250170774085448</v>
      </c>
    </row>
    <row r="36" spans="1:96" s="161" customFormat="1" ht="15.5" hidden="1" outlineLevel="1">
      <c r="A36" s="150" t="str">
        <f t="shared" si="0"/>
        <v>in</v>
      </c>
      <c r="B36" s="178"/>
      <c r="C36" s="157" t="s">
        <v>173</v>
      </c>
      <c r="D36" s="175">
        <v>572322000</v>
      </c>
      <c r="E36" s="177">
        <v>0</v>
      </c>
      <c r="F36" s="177">
        <v>0</v>
      </c>
      <c r="G36" s="177">
        <v>0</v>
      </c>
      <c r="H36" s="177">
        <v>0</v>
      </c>
      <c r="I36" s="177">
        <v>0</v>
      </c>
      <c r="J36" s="177">
        <v>0</v>
      </c>
      <c r="K36" s="177">
        <v>0</v>
      </c>
      <c r="L36" s="177">
        <v>0</v>
      </c>
      <c r="M36" s="177">
        <v>0</v>
      </c>
      <c r="N36" s="177">
        <v>0</v>
      </c>
      <c r="O36" s="177">
        <v>0</v>
      </c>
      <c r="P36" s="177">
        <v>0</v>
      </c>
      <c r="Q36" s="177">
        <v>572322000</v>
      </c>
      <c r="R36" s="177">
        <v>0</v>
      </c>
      <c r="S36" s="177">
        <v>0</v>
      </c>
      <c r="T36" s="177">
        <v>0</v>
      </c>
      <c r="U36" s="177">
        <v>572322000</v>
      </c>
      <c r="V36" s="177">
        <v>5285589695</v>
      </c>
      <c r="W36" s="177">
        <v>5285589695</v>
      </c>
      <c r="X36" s="177">
        <v>5121997585</v>
      </c>
      <c r="Y36" s="177">
        <v>163592110</v>
      </c>
      <c r="Z36" s="177">
        <v>0</v>
      </c>
      <c r="AA36" s="177">
        <v>0</v>
      </c>
      <c r="AB36" s="177">
        <v>0</v>
      </c>
      <c r="AC36" s="177">
        <v>0</v>
      </c>
      <c r="AD36" s="177">
        <v>0</v>
      </c>
      <c r="AE36" s="177">
        <v>0</v>
      </c>
      <c r="AF36" s="177">
        <v>0</v>
      </c>
      <c r="AG36" s="177">
        <v>0</v>
      </c>
      <c r="AH36" s="177">
        <v>0</v>
      </c>
      <c r="AI36" s="177">
        <v>0</v>
      </c>
      <c r="AJ36" s="177"/>
      <c r="AK36" s="177">
        <v>5285589695</v>
      </c>
      <c r="AL36" s="177">
        <v>0</v>
      </c>
      <c r="AM36" s="177">
        <v>0</v>
      </c>
      <c r="AN36" s="177">
        <v>0</v>
      </c>
      <c r="AO36" s="160">
        <v>9.2353425082383698</v>
      </c>
      <c r="AP36" s="177">
        <v>5285589695</v>
      </c>
      <c r="AQ36" s="177">
        <v>5121997585</v>
      </c>
      <c r="AR36" s="177">
        <v>163592110</v>
      </c>
      <c r="AS36" s="179">
        <v>0</v>
      </c>
      <c r="AT36" s="177">
        <v>0</v>
      </c>
      <c r="AU36" s="177">
        <v>0</v>
      </c>
      <c r="AV36" s="177">
        <v>0</v>
      </c>
      <c r="AW36" s="177">
        <v>0</v>
      </c>
      <c r="AX36" s="177">
        <v>0</v>
      </c>
      <c r="AY36" s="177">
        <v>0</v>
      </c>
      <c r="AZ36" s="177">
        <v>0</v>
      </c>
      <c r="BA36" s="177">
        <v>0</v>
      </c>
      <c r="BB36" s="177">
        <v>0</v>
      </c>
      <c r="BC36" s="177">
        <v>5285589695</v>
      </c>
      <c r="BD36" s="177">
        <v>0</v>
      </c>
      <c r="BE36" s="177">
        <v>0</v>
      </c>
      <c r="BF36" s="177">
        <v>0</v>
      </c>
      <c r="BG36" s="270">
        <v>3577720317</v>
      </c>
      <c r="BH36" s="270">
        <v>0</v>
      </c>
      <c r="BI36" s="270">
        <v>3577720317</v>
      </c>
      <c r="BJ36" s="270">
        <v>0</v>
      </c>
      <c r="BK36" s="270">
        <v>0</v>
      </c>
      <c r="BL36" s="270">
        <v>0</v>
      </c>
      <c r="BM36" s="270">
        <v>0</v>
      </c>
      <c r="BN36" s="270">
        <v>0</v>
      </c>
      <c r="BO36" s="270">
        <v>0</v>
      </c>
      <c r="BP36" s="270">
        <v>0</v>
      </c>
      <c r="BQ36" s="299">
        <v>0</v>
      </c>
      <c r="BR36" s="270">
        <v>0</v>
      </c>
      <c r="BS36" s="270">
        <v>0</v>
      </c>
      <c r="BT36" s="177">
        <v>3577720317</v>
      </c>
      <c r="BU36" s="177">
        <v>0</v>
      </c>
      <c r="BV36" s="177">
        <v>0</v>
      </c>
      <c r="BW36" s="177">
        <v>0</v>
      </c>
      <c r="BX36" s="269">
        <v>0</v>
      </c>
      <c r="BY36" s="270">
        <v>0</v>
      </c>
      <c r="BZ36" s="270"/>
      <c r="CA36" s="270"/>
      <c r="CB36" s="270"/>
      <c r="CC36" s="270"/>
      <c r="CD36" s="270"/>
      <c r="CE36" s="270"/>
      <c r="CF36" s="270"/>
      <c r="CG36" s="270"/>
      <c r="CH36" s="270"/>
      <c r="CI36" s="270"/>
      <c r="CJ36" s="270"/>
      <c r="CK36" s="271">
        <v>0</v>
      </c>
      <c r="CL36" s="271"/>
      <c r="CM36" s="271"/>
      <c r="CN36" s="271"/>
      <c r="CO36" s="156">
        <f t="shared" si="1"/>
        <v>-1707869378</v>
      </c>
      <c r="CP36" s="291">
        <f t="shared" si="2"/>
        <v>-0.32311803915002901</v>
      </c>
      <c r="CQ36" s="291">
        <f t="shared" si="3"/>
        <v>9.2353425082383698</v>
      </c>
      <c r="CR36" s="291">
        <f t="shared" si="4"/>
        <v>0.67688196084997099</v>
      </c>
    </row>
    <row r="37" spans="1:96" s="161" customFormat="1" ht="15.5" hidden="1" outlineLevel="1">
      <c r="A37" s="150" t="str">
        <f t="shared" si="0"/>
        <v>in</v>
      </c>
      <c r="B37" s="178"/>
      <c r="C37" s="157" t="s">
        <v>174</v>
      </c>
      <c r="D37" s="175">
        <v>572322000</v>
      </c>
      <c r="E37" s="177">
        <v>0</v>
      </c>
      <c r="F37" s="177">
        <v>0</v>
      </c>
      <c r="G37" s="177">
        <v>0</v>
      </c>
      <c r="H37" s="177">
        <v>0</v>
      </c>
      <c r="I37" s="177">
        <v>0</v>
      </c>
      <c r="J37" s="177">
        <v>0</v>
      </c>
      <c r="K37" s="177">
        <v>0</v>
      </c>
      <c r="L37" s="177">
        <v>0</v>
      </c>
      <c r="M37" s="177">
        <v>0</v>
      </c>
      <c r="N37" s="177">
        <v>0</v>
      </c>
      <c r="O37" s="177">
        <v>0</v>
      </c>
      <c r="P37" s="177">
        <v>0</v>
      </c>
      <c r="Q37" s="177">
        <v>572322000</v>
      </c>
      <c r="R37" s="177">
        <v>0</v>
      </c>
      <c r="S37" s="177">
        <v>0</v>
      </c>
      <c r="T37" s="177">
        <v>0</v>
      </c>
      <c r="U37" s="177">
        <v>572322000</v>
      </c>
      <c r="V37" s="177">
        <v>2238550000</v>
      </c>
      <c r="W37" s="177">
        <v>2238550000</v>
      </c>
      <c r="X37" s="177">
        <v>2098069000</v>
      </c>
      <c r="Y37" s="177">
        <v>140481000</v>
      </c>
      <c r="Z37" s="177">
        <v>0</v>
      </c>
      <c r="AA37" s="177">
        <v>0</v>
      </c>
      <c r="AB37" s="177">
        <v>0</v>
      </c>
      <c r="AC37" s="177">
        <v>0</v>
      </c>
      <c r="AD37" s="177">
        <v>0</v>
      </c>
      <c r="AE37" s="177">
        <v>0</v>
      </c>
      <c r="AF37" s="177">
        <v>0</v>
      </c>
      <c r="AG37" s="177">
        <v>0</v>
      </c>
      <c r="AH37" s="177">
        <v>0</v>
      </c>
      <c r="AI37" s="177">
        <v>0</v>
      </c>
      <c r="AJ37" s="177"/>
      <c r="AK37" s="177">
        <v>2238550000</v>
      </c>
      <c r="AL37" s="177">
        <v>0</v>
      </c>
      <c r="AM37" s="177">
        <v>0</v>
      </c>
      <c r="AN37" s="177">
        <v>0</v>
      </c>
      <c r="AO37" s="160">
        <v>3.9113471087953986</v>
      </c>
      <c r="AP37" s="177">
        <v>2238550000</v>
      </c>
      <c r="AQ37" s="177">
        <v>2098069000</v>
      </c>
      <c r="AR37" s="177">
        <v>140481000</v>
      </c>
      <c r="AS37" s="179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>
        <v>2238550000</v>
      </c>
      <c r="BD37" s="177">
        <v>0</v>
      </c>
      <c r="BE37" s="177">
        <v>0</v>
      </c>
      <c r="BF37" s="177">
        <v>0</v>
      </c>
      <c r="BG37" s="270">
        <v>0</v>
      </c>
      <c r="BH37" s="270"/>
      <c r="BI37" s="270"/>
      <c r="BJ37" s="270"/>
      <c r="BK37" s="270"/>
      <c r="BL37" s="270"/>
      <c r="BM37" s="270"/>
      <c r="BN37" s="270"/>
      <c r="BO37" s="270"/>
      <c r="BP37" s="270"/>
      <c r="BQ37" s="299"/>
      <c r="BR37" s="270"/>
      <c r="BS37" s="270"/>
      <c r="BT37" s="177">
        <v>0</v>
      </c>
      <c r="BU37" s="177">
        <v>0</v>
      </c>
      <c r="BV37" s="177">
        <v>0</v>
      </c>
      <c r="BW37" s="177">
        <v>0</v>
      </c>
      <c r="BX37" s="269">
        <v>0</v>
      </c>
      <c r="BY37" s="270">
        <v>0</v>
      </c>
      <c r="BZ37" s="270"/>
      <c r="CA37" s="270"/>
      <c r="CB37" s="270"/>
      <c r="CC37" s="270"/>
      <c r="CD37" s="270"/>
      <c r="CE37" s="270"/>
      <c r="CF37" s="270"/>
      <c r="CG37" s="270"/>
      <c r="CH37" s="270"/>
      <c r="CI37" s="270"/>
      <c r="CJ37" s="270"/>
      <c r="CK37" s="271">
        <v>0</v>
      </c>
      <c r="CL37" s="271"/>
      <c r="CM37" s="271"/>
      <c r="CN37" s="271"/>
      <c r="CO37" s="156">
        <f t="shared" si="1"/>
        <v>-2238550000</v>
      </c>
      <c r="CP37" s="291">
        <f t="shared" si="2"/>
        <v>-1</v>
      </c>
      <c r="CQ37" s="291">
        <f t="shared" si="3"/>
        <v>3.9113471087953986</v>
      </c>
      <c r="CR37" s="291">
        <f t="shared" si="4"/>
        <v>0</v>
      </c>
    </row>
    <row r="38" spans="1:96" s="161" customFormat="1" ht="15.5" hidden="1" outlineLevel="1">
      <c r="A38" s="150" t="str">
        <f t="shared" si="0"/>
        <v>in</v>
      </c>
      <c r="B38" s="178"/>
      <c r="C38" s="157" t="s">
        <v>175</v>
      </c>
      <c r="D38" s="175">
        <v>0</v>
      </c>
      <c r="E38" s="177">
        <v>0</v>
      </c>
      <c r="F38" s="177">
        <v>0</v>
      </c>
      <c r="G38" s="177">
        <v>0</v>
      </c>
      <c r="H38" s="177">
        <v>0</v>
      </c>
      <c r="I38" s="177">
        <v>0</v>
      </c>
      <c r="J38" s="177">
        <v>0</v>
      </c>
      <c r="K38" s="177">
        <v>0</v>
      </c>
      <c r="L38" s="177">
        <v>0</v>
      </c>
      <c r="M38" s="177">
        <v>0</v>
      </c>
      <c r="N38" s="177">
        <v>0</v>
      </c>
      <c r="O38" s="177">
        <v>0</v>
      </c>
      <c r="P38" s="177">
        <v>0</v>
      </c>
      <c r="Q38" s="177">
        <v>0</v>
      </c>
      <c r="R38" s="177">
        <v>0</v>
      </c>
      <c r="S38" s="177">
        <v>0</v>
      </c>
      <c r="T38" s="177">
        <v>0</v>
      </c>
      <c r="U38" s="177">
        <v>0</v>
      </c>
      <c r="V38" s="177">
        <v>3047039695</v>
      </c>
      <c r="W38" s="177">
        <v>3047039695</v>
      </c>
      <c r="X38" s="177">
        <v>3023928585</v>
      </c>
      <c r="Y38" s="177">
        <v>23111110</v>
      </c>
      <c r="Z38" s="177">
        <v>0</v>
      </c>
      <c r="AA38" s="177">
        <v>0</v>
      </c>
      <c r="AB38" s="177">
        <v>0</v>
      </c>
      <c r="AC38" s="177">
        <v>0</v>
      </c>
      <c r="AD38" s="177">
        <v>0</v>
      </c>
      <c r="AE38" s="177">
        <v>0</v>
      </c>
      <c r="AF38" s="177">
        <v>0</v>
      </c>
      <c r="AG38" s="177">
        <v>0</v>
      </c>
      <c r="AH38" s="177">
        <v>0</v>
      </c>
      <c r="AI38" s="177">
        <v>0</v>
      </c>
      <c r="AJ38" s="177"/>
      <c r="AK38" s="177">
        <v>3047039695</v>
      </c>
      <c r="AL38" s="177">
        <v>0</v>
      </c>
      <c r="AM38" s="177">
        <v>0</v>
      </c>
      <c r="AN38" s="177">
        <v>0</v>
      </c>
      <c r="AO38" s="160"/>
      <c r="AP38" s="177">
        <v>3047039695</v>
      </c>
      <c r="AQ38" s="177">
        <v>3023928585</v>
      </c>
      <c r="AR38" s="177">
        <v>23111110</v>
      </c>
      <c r="AS38" s="179"/>
      <c r="AT38" s="177"/>
      <c r="AU38" s="177"/>
      <c r="AV38" s="177"/>
      <c r="AW38" s="177"/>
      <c r="AX38" s="177"/>
      <c r="AY38" s="177"/>
      <c r="AZ38" s="177"/>
      <c r="BA38" s="177"/>
      <c r="BB38" s="177"/>
      <c r="BC38" s="177">
        <v>3047039695</v>
      </c>
      <c r="BD38" s="177">
        <v>0</v>
      </c>
      <c r="BE38" s="177">
        <v>0</v>
      </c>
      <c r="BF38" s="177">
        <v>0</v>
      </c>
      <c r="BG38" s="270">
        <v>3577720317</v>
      </c>
      <c r="BH38" s="270">
        <v>0</v>
      </c>
      <c r="BI38" s="270">
        <v>3577720317</v>
      </c>
      <c r="BJ38" s="270">
        <v>0</v>
      </c>
      <c r="BK38" s="270">
        <v>0</v>
      </c>
      <c r="BL38" s="270">
        <v>0</v>
      </c>
      <c r="BM38" s="270">
        <v>0</v>
      </c>
      <c r="BN38" s="270">
        <v>0</v>
      </c>
      <c r="BO38" s="270">
        <v>0</v>
      </c>
      <c r="BP38" s="270">
        <v>0</v>
      </c>
      <c r="BQ38" s="299">
        <v>0</v>
      </c>
      <c r="BR38" s="270">
        <v>0</v>
      </c>
      <c r="BS38" s="270">
        <v>0</v>
      </c>
      <c r="BT38" s="177">
        <v>3577720317</v>
      </c>
      <c r="BU38" s="177">
        <v>0</v>
      </c>
      <c r="BV38" s="177">
        <v>0</v>
      </c>
      <c r="BW38" s="177">
        <v>0</v>
      </c>
      <c r="BX38" s="269">
        <v>0</v>
      </c>
      <c r="BY38" s="270">
        <v>0</v>
      </c>
      <c r="BZ38" s="270"/>
      <c r="CA38" s="270"/>
      <c r="CB38" s="270"/>
      <c r="CC38" s="270"/>
      <c r="CD38" s="270"/>
      <c r="CE38" s="270"/>
      <c r="CF38" s="270"/>
      <c r="CG38" s="270"/>
      <c r="CH38" s="270"/>
      <c r="CI38" s="270"/>
      <c r="CJ38" s="270"/>
      <c r="CK38" s="271">
        <v>0</v>
      </c>
      <c r="CL38" s="271"/>
      <c r="CM38" s="271"/>
      <c r="CN38" s="271"/>
      <c r="CO38" s="156">
        <f t="shared" si="1"/>
        <v>530680622</v>
      </c>
      <c r="CP38" s="291">
        <f t="shared" si="2"/>
        <v>0.17416268743423771</v>
      </c>
      <c r="CQ38" s="291" t="e">
        <f t="shared" si="3"/>
        <v>#DIV/0!</v>
      </c>
      <c r="CR38" s="291">
        <f t="shared" si="4"/>
        <v>1.1741626874342377</v>
      </c>
    </row>
    <row r="39" spans="1:96" s="161" customFormat="1" ht="18" hidden="1" customHeight="1" outlineLevel="1">
      <c r="A39" s="150" t="str">
        <f t="shared" si="0"/>
        <v>in</v>
      </c>
      <c r="B39" s="178"/>
      <c r="C39" s="157" t="s">
        <v>176</v>
      </c>
      <c r="D39" s="175">
        <v>22664691</v>
      </c>
      <c r="E39" s="166">
        <v>0</v>
      </c>
      <c r="F39" s="159">
        <v>0</v>
      </c>
      <c r="G39" s="159">
        <v>0</v>
      </c>
      <c r="H39" s="159">
        <v>0</v>
      </c>
      <c r="I39" s="159">
        <v>0</v>
      </c>
      <c r="J39" s="159">
        <v>1015601</v>
      </c>
      <c r="K39" s="159">
        <v>2623636</v>
      </c>
      <c r="L39" s="159">
        <v>2623636</v>
      </c>
      <c r="M39" s="159">
        <v>2623636</v>
      </c>
      <c r="N39" s="159">
        <v>2623636</v>
      </c>
      <c r="O39" s="159">
        <v>3718182</v>
      </c>
      <c r="P39" s="159">
        <v>3718182</v>
      </c>
      <c r="Q39" s="159">
        <v>3718182</v>
      </c>
      <c r="R39" s="159">
        <v>0</v>
      </c>
      <c r="S39" s="159">
        <v>3639237</v>
      </c>
      <c r="T39" s="159">
        <v>7870908</v>
      </c>
      <c r="U39" s="159">
        <v>11154546</v>
      </c>
      <c r="V39" s="159">
        <v>44618184</v>
      </c>
      <c r="W39" s="159">
        <v>44618184</v>
      </c>
      <c r="X39" s="159">
        <v>3718182</v>
      </c>
      <c r="Y39" s="159">
        <v>3718182</v>
      </c>
      <c r="Z39" s="159">
        <v>3718182</v>
      </c>
      <c r="AA39" s="159">
        <v>3718182</v>
      </c>
      <c r="AB39" s="159">
        <v>3718182</v>
      </c>
      <c r="AC39" s="159">
        <v>3718182</v>
      </c>
      <c r="AD39" s="159">
        <v>3718182</v>
      </c>
      <c r="AE39" s="159">
        <v>3718182</v>
      </c>
      <c r="AF39" s="159">
        <v>3718182</v>
      </c>
      <c r="AG39" s="159">
        <v>3718182</v>
      </c>
      <c r="AH39" s="159">
        <v>3718182</v>
      </c>
      <c r="AI39" s="159">
        <v>3718182</v>
      </c>
      <c r="AJ39" s="159"/>
      <c r="AK39" s="159">
        <v>11154546</v>
      </c>
      <c r="AL39" s="159">
        <v>11154546</v>
      </c>
      <c r="AM39" s="159">
        <v>11154546</v>
      </c>
      <c r="AN39" s="159">
        <v>11154546</v>
      </c>
      <c r="AO39" s="160">
        <v>1.9686208825878102</v>
      </c>
      <c r="AP39" s="159">
        <v>58658184</v>
      </c>
      <c r="AQ39" s="159">
        <v>0</v>
      </c>
      <c r="AR39" s="159">
        <v>7436364</v>
      </c>
      <c r="AS39" s="180">
        <v>3718182</v>
      </c>
      <c r="AT39" s="159">
        <v>3718182</v>
      </c>
      <c r="AU39" s="159">
        <v>3718182</v>
      </c>
      <c r="AV39" s="159">
        <v>3718182</v>
      </c>
      <c r="AW39" s="159">
        <v>3718182</v>
      </c>
      <c r="AX39" s="159">
        <v>3718182</v>
      </c>
      <c r="AY39" s="159">
        <v>7228182</v>
      </c>
      <c r="AZ39" s="159">
        <v>7228182</v>
      </c>
      <c r="BA39" s="159">
        <v>7228182</v>
      </c>
      <c r="BB39" s="159">
        <v>7228182</v>
      </c>
      <c r="BC39" s="159">
        <v>11154546</v>
      </c>
      <c r="BD39" s="159">
        <v>11154546</v>
      </c>
      <c r="BE39" s="159">
        <v>14664546</v>
      </c>
      <c r="BF39" s="159">
        <v>21684546</v>
      </c>
      <c r="BG39" s="270">
        <v>86738184</v>
      </c>
      <c r="BH39" s="270">
        <v>7228182</v>
      </c>
      <c r="BI39" s="270">
        <v>7228182</v>
      </c>
      <c r="BJ39" s="270">
        <v>7228182</v>
      </c>
      <c r="BK39" s="270">
        <v>7228182</v>
      </c>
      <c r="BL39" s="270">
        <v>7228182</v>
      </c>
      <c r="BM39" s="270">
        <v>7228182</v>
      </c>
      <c r="BN39" s="270">
        <v>7228182</v>
      </c>
      <c r="BO39" s="270">
        <v>7228182</v>
      </c>
      <c r="BP39" s="270">
        <v>7228182</v>
      </c>
      <c r="BQ39" s="260">
        <v>7228182</v>
      </c>
      <c r="BR39" s="270">
        <v>7228182</v>
      </c>
      <c r="BS39" s="270">
        <v>7228182</v>
      </c>
      <c r="BT39" s="159">
        <v>21684546</v>
      </c>
      <c r="BU39" s="159">
        <v>21684546</v>
      </c>
      <c r="BV39" s="159">
        <v>21684546</v>
      </c>
      <c r="BW39" s="159">
        <v>21684546</v>
      </c>
      <c r="BX39" s="269">
        <v>7228182</v>
      </c>
      <c r="BY39" s="270">
        <v>7228182</v>
      </c>
      <c r="BZ39" s="270"/>
      <c r="CA39" s="270"/>
      <c r="CB39" s="270"/>
      <c r="CC39" s="270"/>
      <c r="CD39" s="270"/>
      <c r="CE39" s="270"/>
      <c r="CF39" s="270"/>
      <c r="CG39" s="270"/>
      <c r="CH39" s="270"/>
      <c r="CI39" s="270"/>
      <c r="CJ39" s="270"/>
      <c r="CK39" s="271">
        <v>7228182</v>
      </c>
      <c r="CL39" s="271"/>
      <c r="CM39" s="271"/>
      <c r="CN39" s="271"/>
      <c r="CO39" s="156">
        <f t="shared" si="1"/>
        <v>28080000</v>
      </c>
      <c r="CP39" s="291">
        <f t="shared" si="2"/>
        <v>0.47870558011137881</v>
      </c>
      <c r="CQ39" s="291">
        <f t="shared" si="3"/>
        <v>2.5880866410223726</v>
      </c>
      <c r="CR39" s="291">
        <f t="shared" si="4"/>
        <v>1.4787055801113789</v>
      </c>
    </row>
    <row r="40" spans="1:96" s="186" customFormat="1" ht="15.5" hidden="1" outlineLevel="2">
      <c r="A40" s="150" t="str">
        <f t="shared" si="0"/>
        <v>ẩn</v>
      </c>
      <c r="B40" s="181"/>
      <c r="C40" s="182" t="s">
        <v>177</v>
      </c>
      <c r="D40" s="183">
        <v>0</v>
      </c>
      <c r="E40" s="184">
        <v>0</v>
      </c>
      <c r="F40" s="184">
        <v>0</v>
      </c>
      <c r="G40" s="184">
        <v>0</v>
      </c>
      <c r="H40" s="184">
        <v>0</v>
      </c>
      <c r="I40" s="184">
        <v>0</v>
      </c>
      <c r="J40" s="184">
        <v>0</v>
      </c>
      <c r="K40" s="184">
        <v>0</v>
      </c>
      <c r="L40" s="184">
        <v>0</v>
      </c>
      <c r="M40" s="184">
        <v>0</v>
      </c>
      <c r="N40" s="184">
        <v>0</v>
      </c>
      <c r="O40" s="184">
        <v>0</v>
      </c>
      <c r="P40" s="184">
        <v>0</v>
      </c>
      <c r="Q40" s="184">
        <v>0</v>
      </c>
      <c r="R40" s="184">
        <v>0</v>
      </c>
      <c r="S40" s="184">
        <v>0</v>
      </c>
      <c r="T40" s="184">
        <v>0</v>
      </c>
      <c r="U40" s="184">
        <v>0</v>
      </c>
      <c r="V40" s="184">
        <v>0</v>
      </c>
      <c r="W40" s="184">
        <v>0</v>
      </c>
      <c r="X40" s="184">
        <v>0</v>
      </c>
      <c r="Y40" s="184">
        <v>0</v>
      </c>
      <c r="Z40" s="184">
        <v>0</v>
      </c>
      <c r="AA40" s="184">
        <v>0</v>
      </c>
      <c r="AB40" s="184">
        <v>0</v>
      </c>
      <c r="AC40" s="184">
        <v>0</v>
      </c>
      <c r="AD40" s="184">
        <v>0</v>
      </c>
      <c r="AE40" s="184">
        <v>0</v>
      </c>
      <c r="AF40" s="184">
        <v>0</v>
      </c>
      <c r="AG40" s="184">
        <v>0</v>
      </c>
      <c r="AH40" s="184">
        <v>0</v>
      </c>
      <c r="AI40" s="184">
        <v>0</v>
      </c>
      <c r="AJ40" s="184"/>
      <c r="AK40" s="184">
        <v>0</v>
      </c>
      <c r="AL40" s="184">
        <v>0</v>
      </c>
      <c r="AM40" s="184">
        <v>0</v>
      </c>
      <c r="AN40" s="184">
        <v>0</v>
      </c>
      <c r="AO40" s="160"/>
      <c r="AP40" s="184">
        <v>0</v>
      </c>
      <c r="AQ40" s="184">
        <v>0</v>
      </c>
      <c r="AR40" s="184">
        <v>0</v>
      </c>
      <c r="AS40" s="185">
        <v>0</v>
      </c>
      <c r="AT40" s="184">
        <v>0</v>
      </c>
      <c r="AU40" s="184">
        <v>0</v>
      </c>
      <c r="AV40" s="184">
        <v>0</v>
      </c>
      <c r="AW40" s="184">
        <v>0</v>
      </c>
      <c r="AX40" s="184">
        <v>0</v>
      </c>
      <c r="AY40" s="184">
        <v>0</v>
      </c>
      <c r="AZ40" s="184">
        <v>0</v>
      </c>
      <c r="BA40" s="184">
        <v>0</v>
      </c>
      <c r="BB40" s="184">
        <v>0</v>
      </c>
      <c r="BC40" s="184">
        <v>0</v>
      </c>
      <c r="BD40" s="184">
        <v>0</v>
      </c>
      <c r="BE40" s="184">
        <v>0</v>
      </c>
      <c r="BF40" s="184">
        <v>0</v>
      </c>
      <c r="BG40" s="276">
        <v>0</v>
      </c>
      <c r="BH40" s="276">
        <v>0</v>
      </c>
      <c r="BI40" s="276">
        <v>0</v>
      </c>
      <c r="BJ40" s="276">
        <v>0</v>
      </c>
      <c r="BK40" s="276">
        <v>0</v>
      </c>
      <c r="BL40" s="276">
        <v>0</v>
      </c>
      <c r="BM40" s="276">
        <v>0</v>
      </c>
      <c r="BN40" s="276">
        <v>0</v>
      </c>
      <c r="BO40" s="276">
        <v>0</v>
      </c>
      <c r="BP40" s="276">
        <v>0</v>
      </c>
      <c r="BQ40" s="300">
        <v>0</v>
      </c>
      <c r="BR40" s="276">
        <v>0</v>
      </c>
      <c r="BS40" s="276">
        <v>0</v>
      </c>
      <c r="BT40" s="184">
        <v>0</v>
      </c>
      <c r="BU40" s="184">
        <v>0</v>
      </c>
      <c r="BV40" s="184">
        <v>0</v>
      </c>
      <c r="BW40" s="184">
        <v>0</v>
      </c>
      <c r="BX40" s="275">
        <v>0</v>
      </c>
      <c r="BY40" s="276">
        <v>0</v>
      </c>
      <c r="BZ40" s="276"/>
      <c r="CA40" s="276"/>
      <c r="CB40" s="276"/>
      <c r="CC40" s="276"/>
      <c r="CD40" s="276"/>
      <c r="CE40" s="276"/>
      <c r="CF40" s="276"/>
      <c r="CG40" s="276"/>
      <c r="CH40" s="276"/>
      <c r="CI40" s="276"/>
      <c r="CJ40" s="276"/>
      <c r="CK40" s="277">
        <v>0</v>
      </c>
      <c r="CL40" s="277"/>
      <c r="CM40" s="277"/>
      <c r="CN40" s="277"/>
      <c r="CO40" s="156">
        <f t="shared" si="1"/>
        <v>0</v>
      </c>
      <c r="CP40" s="291" t="str">
        <f t="shared" si="2"/>
        <v/>
      </c>
      <c r="CQ40" s="291" t="e">
        <f t="shared" si="3"/>
        <v>#DIV/0!</v>
      </c>
      <c r="CR40" s="291" t="e">
        <f t="shared" si="4"/>
        <v>#DIV/0!</v>
      </c>
    </row>
    <row r="41" spans="1:96" s="186" customFormat="1" ht="18" hidden="1" customHeight="1" outlineLevel="2">
      <c r="A41" s="150" t="str">
        <f t="shared" si="0"/>
        <v>in</v>
      </c>
      <c r="B41" s="187"/>
      <c r="C41" s="188" t="s">
        <v>178</v>
      </c>
      <c r="D41" s="183">
        <v>22664691</v>
      </c>
      <c r="E41" s="183">
        <v>0</v>
      </c>
      <c r="F41" s="183">
        <v>0</v>
      </c>
      <c r="G41" s="183">
        <v>0</v>
      </c>
      <c r="H41" s="183">
        <v>0</v>
      </c>
      <c r="I41" s="183">
        <v>0</v>
      </c>
      <c r="J41" s="183">
        <v>1015601</v>
      </c>
      <c r="K41" s="183">
        <v>2623636</v>
      </c>
      <c r="L41" s="183">
        <v>2623636</v>
      </c>
      <c r="M41" s="183">
        <v>2623636</v>
      </c>
      <c r="N41" s="183">
        <v>2623636</v>
      </c>
      <c r="O41" s="183">
        <v>3718182</v>
      </c>
      <c r="P41" s="183">
        <v>3718182</v>
      </c>
      <c r="Q41" s="183">
        <v>3718182</v>
      </c>
      <c r="R41" s="183">
        <v>0</v>
      </c>
      <c r="S41" s="183">
        <v>3639237</v>
      </c>
      <c r="T41" s="183">
        <v>7870908</v>
      </c>
      <c r="U41" s="183">
        <v>11154546</v>
      </c>
      <c r="V41" s="183">
        <v>44618184</v>
      </c>
      <c r="W41" s="183">
        <v>44618184</v>
      </c>
      <c r="X41" s="183">
        <v>3718182</v>
      </c>
      <c r="Y41" s="183">
        <v>3718182</v>
      </c>
      <c r="Z41" s="183">
        <v>3718182</v>
      </c>
      <c r="AA41" s="183">
        <v>3718182</v>
      </c>
      <c r="AB41" s="183">
        <v>3718182</v>
      </c>
      <c r="AC41" s="183">
        <v>3718182</v>
      </c>
      <c r="AD41" s="183">
        <v>3718182</v>
      </c>
      <c r="AE41" s="183">
        <v>3718182</v>
      </c>
      <c r="AF41" s="183">
        <v>3718182</v>
      </c>
      <c r="AG41" s="183">
        <v>3718182</v>
      </c>
      <c r="AH41" s="183">
        <v>3718182</v>
      </c>
      <c r="AI41" s="183">
        <v>3718182</v>
      </c>
      <c r="AJ41" s="183"/>
      <c r="AK41" s="183">
        <v>11154546</v>
      </c>
      <c r="AL41" s="183">
        <v>11154546</v>
      </c>
      <c r="AM41" s="183">
        <v>11154546</v>
      </c>
      <c r="AN41" s="183">
        <v>11154546</v>
      </c>
      <c r="AO41" s="160">
        <v>1.9686208825878102</v>
      </c>
      <c r="AP41" s="183">
        <v>58658184</v>
      </c>
      <c r="AQ41" s="183">
        <v>0</v>
      </c>
      <c r="AR41" s="183">
        <v>7436364</v>
      </c>
      <c r="AS41" s="189">
        <v>3718182</v>
      </c>
      <c r="AT41" s="183">
        <v>3718182</v>
      </c>
      <c r="AU41" s="183">
        <v>3718182</v>
      </c>
      <c r="AV41" s="183">
        <v>3718182</v>
      </c>
      <c r="AW41" s="183">
        <v>3718182</v>
      </c>
      <c r="AX41" s="183">
        <v>3718182</v>
      </c>
      <c r="AY41" s="183">
        <v>7228182</v>
      </c>
      <c r="AZ41" s="183">
        <v>7228182</v>
      </c>
      <c r="BA41" s="183">
        <v>7228182</v>
      </c>
      <c r="BB41" s="183">
        <v>7228182</v>
      </c>
      <c r="BC41" s="183">
        <v>11154546</v>
      </c>
      <c r="BD41" s="183">
        <v>11154546</v>
      </c>
      <c r="BE41" s="183">
        <v>14664546</v>
      </c>
      <c r="BF41" s="183">
        <v>21684546</v>
      </c>
      <c r="BG41" s="276">
        <v>86738184</v>
      </c>
      <c r="BH41" s="276">
        <v>7228182</v>
      </c>
      <c r="BI41" s="276">
        <v>7228182</v>
      </c>
      <c r="BJ41" s="276">
        <v>7228182</v>
      </c>
      <c r="BK41" s="276">
        <v>7228182</v>
      </c>
      <c r="BL41" s="276">
        <v>7228182</v>
      </c>
      <c r="BM41" s="276">
        <v>7228182</v>
      </c>
      <c r="BN41" s="276">
        <v>7228182</v>
      </c>
      <c r="BO41" s="276">
        <v>7228182</v>
      </c>
      <c r="BP41" s="276">
        <v>7228182</v>
      </c>
      <c r="BQ41" s="301">
        <v>7228182</v>
      </c>
      <c r="BR41" s="276">
        <v>7228182</v>
      </c>
      <c r="BS41" s="276">
        <v>7228182</v>
      </c>
      <c r="BT41" s="183">
        <v>21684546</v>
      </c>
      <c r="BU41" s="183">
        <v>21684546</v>
      </c>
      <c r="BV41" s="183">
        <v>21684546</v>
      </c>
      <c r="BW41" s="183">
        <v>21684546</v>
      </c>
      <c r="BX41" s="275">
        <v>7228182</v>
      </c>
      <c r="BY41" s="276">
        <v>7228182</v>
      </c>
      <c r="BZ41" s="276"/>
      <c r="CA41" s="276"/>
      <c r="CB41" s="276"/>
      <c r="CC41" s="276"/>
      <c r="CD41" s="276"/>
      <c r="CE41" s="276"/>
      <c r="CF41" s="276"/>
      <c r="CG41" s="276"/>
      <c r="CH41" s="276"/>
      <c r="CI41" s="276"/>
      <c r="CJ41" s="276"/>
      <c r="CK41" s="277">
        <v>7228182</v>
      </c>
      <c r="CL41" s="277"/>
      <c r="CM41" s="277"/>
      <c r="CN41" s="277"/>
      <c r="CO41" s="156">
        <f t="shared" si="1"/>
        <v>28080000</v>
      </c>
      <c r="CP41" s="291">
        <f t="shared" si="2"/>
        <v>0.47870558011137881</v>
      </c>
      <c r="CQ41" s="291">
        <f t="shared" si="3"/>
        <v>2.5880866410223726</v>
      </c>
      <c r="CR41" s="291">
        <f t="shared" si="4"/>
        <v>1.4787055801113789</v>
      </c>
    </row>
    <row r="42" spans="1:96" s="190" customFormat="1" ht="18" hidden="1" customHeight="1" outlineLevel="2">
      <c r="A42" s="150" t="str">
        <f t="shared" si="0"/>
        <v>in</v>
      </c>
      <c r="C42" s="191" t="s">
        <v>179</v>
      </c>
      <c r="D42" s="191">
        <v>310138889</v>
      </c>
      <c r="E42" s="191">
        <v>0</v>
      </c>
      <c r="F42" s="191"/>
      <c r="G42" s="191"/>
      <c r="H42" s="191">
        <v>0</v>
      </c>
      <c r="I42" s="191">
        <v>0</v>
      </c>
      <c r="J42" s="191">
        <v>0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310138889</v>
      </c>
      <c r="R42" s="191">
        <v>0</v>
      </c>
      <c r="S42" s="191">
        <v>0</v>
      </c>
      <c r="T42" s="191">
        <v>0</v>
      </c>
      <c r="U42" s="191">
        <v>310138889</v>
      </c>
      <c r="V42" s="191">
        <v>84922038</v>
      </c>
      <c r="W42" s="191">
        <v>84922038</v>
      </c>
      <c r="X42" s="191">
        <v>84922038</v>
      </c>
      <c r="Y42" s="191">
        <v>0</v>
      </c>
      <c r="Z42" s="191">
        <v>0</v>
      </c>
      <c r="AA42" s="191">
        <v>0</v>
      </c>
      <c r="AB42" s="191">
        <v>0</v>
      </c>
      <c r="AC42" s="191">
        <v>0</v>
      </c>
      <c r="AD42" s="191">
        <v>0</v>
      </c>
      <c r="AE42" s="191">
        <v>0</v>
      </c>
      <c r="AF42" s="191">
        <v>0</v>
      </c>
      <c r="AG42" s="191">
        <v>0</v>
      </c>
      <c r="AH42" s="191">
        <v>0</v>
      </c>
      <c r="AI42" s="191">
        <v>0</v>
      </c>
      <c r="AJ42" s="191"/>
      <c r="AK42" s="191">
        <v>84922038</v>
      </c>
      <c r="AL42" s="191">
        <v>0</v>
      </c>
      <c r="AM42" s="191">
        <v>0</v>
      </c>
      <c r="AN42" s="191">
        <v>0</v>
      </c>
      <c r="AO42" s="160">
        <v>0.27381937903311443</v>
      </c>
      <c r="AP42" s="191">
        <v>967099573</v>
      </c>
      <c r="AQ42" s="192">
        <v>84922038</v>
      </c>
      <c r="AR42" s="192">
        <v>0</v>
      </c>
      <c r="AS42" s="190">
        <v>0</v>
      </c>
      <c r="AT42" s="190">
        <v>0</v>
      </c>
      <c r="AU42" s="190">
        <v>0</v>
      </c>
      <c r="AV42" s="190">
        <v>0</v>
      </c>
      <c r="AW42" s="190">
        <v>0</v>
      </c>
      <c r="AX42" s="190">
        <v>0</v>
      </c>
      <c r="AY42" s="190">
        <v>0</v>
      </c>
      <c r="AZ42" s="190">
        <v>0</v>
      </c>
      <c r="BA42" s="190">
        <v>11115000</v>
      </c>
      <c r="BB42" s="190">
        <v>871062535</v>
      </c>
      <c r="BC42" s="191">
        <v>84922038</v>
      </c>
      <c r="BD42" s="191">
        <v>0</v>
      </c>
      <c r="BE42" s="191">
        <v>0</v>
      </c>
      <c r="BF42" s="191">
        <v>882177535</v>
      </c>
      <c r="BG42" s="278">
        <v>0</v>
      </c>
      <c r="BH42" s="278">
        <v>0</v>
      </c>
      <c r="BI42" s="278">
        <v>0</v>
      </c>
      <c r="BJ42" s="278">
        <v>0</v>
      </c>
      <c r="BK42" s="278">
        <v>0</v>
      </c>
      <c r="BL42" s="278">
        <v>0</v>
      </c>
      <c r="BM42" s="278">
        <v>0</v>
      </c>
      <c r="BN42" s="278">
        <v>0</v>
      </c>
      <c r="BO42" s="278">
        <v>0</v>
      </c>
      <c r="BP42" s="278">
        <v>0</v>
      </c>
      <c r="BQ42" s="302">
        <v>0</v>
      </c>
      <c r="BR42" s="278">
        <v>0</v>
      </c>
      <c r="BS42" s="278">
        <v>0</v>
      </c>
      <c r="BT42" s="191">
        <v>0</v>
      </c>
      <c r="BU42" s="191">
        <v>0</v>
      </c>
      <c r="BV42" s="191">
        <v>0</v>
      </c>
      <c r="BW42" s="191">
        <v>0</v>
      </c>
      <c r="BX42" s="191">
        <v>0</v>
      </c>
      <c r="BY42" s="278">
        <v>0</v>
      </c>
      <c r="BZ42" s="278"/>
      <c r="CA42" s="278"/>
      <c r="CB42" s="278"/>
      <c r="CC42" s="278"/>
      <c r="CD42" s="278"/>
      <c r="CE42" s="278"/>
      <c r="CF42" s="278"/>
      <c r="CG42" s="278"/>
      <c r="CH42" s="278"/>
      <c r="CI42" s="278"/>
      <c r="CJ42" s="278"/>
      <c r="CK42" s="191">
        <v>0</v>
      </c>
      <c r="CL42" s="191"/>
      <c r="CM42" s="191"/>
      <c r="CN42" s="191"/>
      <c r="CO42" s="156">
        <f t="shared" si="1"/>
        <v>-967099573</v>
      </c>
      <c r="CP42" s="291">
        <f t="shared" si="2"/>
        <v>-1</v>
      </c>
      <c r="CQ42" s="291">
        <f t="shared" si="3"/>
        <v>3.1182789624296356</v>
      </c>
      <c r="CR42" s="291">
        <f t="shared" si="4"/>
        <v>0</v>
      </c>
    </row>
    <row r="43" spans="1:96" s="156" customFormat="1" ht="15.5" collapsed="1">
      <c r="A43" s="150" t="str">
        <f t="shared" si="0"/>
        <v>in</v>
      </c>
      <c r="B43" s="151"/>
      <c r="C43" s="152" t="s">
        <v>180</v>
      </c>
      <c r="D43" s="176">
        <v>20388963610</v>
      </c>
      <c r="E43" s="176">
        <v>2652760077</v>
      </c>
      <c r="F43" s="176">
        <v>819905702</v>
      </c>
      <c r="G43" s="176">
        <v>284823655</v>
      </c>
      <c r="H43" s="176">
        <v>674505728</v>
      </c>
      <c r="I43" s="176">
        <v>873524992</v>
      </c>
      <c r="J43" s="176">
        <v>1116947267</v>
      </c>
      <c r="K43" s="176">
        <v>1301014926</v>
      </c>
      <c r="L43" s="176">
        <v>4346731995</v>
      </c>
      <c r="M43" s="176">
        <v>5734347369</v>
      </c>
      <c r="N43" s="176">
        <v>2083988537</v>
      </c>
      <c r="O43" s="176">
        <v>974043123</v>
      </c>
      <c r="P43" s="176">
        <v>844100915</v>
      </c>
      <c r="Q43" s="176">
        <v>1335029401</v>
      </c>
      <c r="R43" s="176">
        <v>1779235085</v>
      </c>
      <c r="S43" s="176">
        <v>3291487185</v>
      </c>
      <c r="T43" s="176">
        <v>12165067901</v>
      </c>
      <c r="U43" s="176">
        <v>3153173439</v>
      </c>
      <c r="V43" s="176">
        <v>22665738207.70937</v>
      </c>
      <c r="W43" s="176">
        <v>22665738207.70937</v>
      </c>
      <c r="X43" s="176">
        <v>2072524660.1728258</v>
      </c>
      <c r="Y43" s="176">
        <v>655721252.44293499</v>
      </c>
      <c r="Z43" s="176">
        <v>868838831.27665472</v>
      </c>
      <c r="AA43" s="176">
        <v>925445085.55127907</v>
      </c>
      <c r="AB43" s="176">
        <v>971958524.09894371</v>
      </c>
      <c r="AC43" s="176">
        <v>961808680.0085603</v>
      </c>
      <c r="AD43" s="176">
        <v>4153296914.0855246</v>
      </c>
      <c r="AE43" s="176">
        <v>5581455356.6938553</v>
      </c>
      <c r="AF43" s="176">
        <v>3792536950.7538371</v>
      </c>
      <c r="AG43" s="176">
        <v>913148678.95910549</v>
      </c>
      <c r="AH43" s="176">
        <v>814476080.901124</v>
      </c>
      <c r="AI43" s="176">
        <v>954527192.76472425</v>
      </c>
      <c r="AJ43" s="176"/>
      <c r="AK43" s="176">
        <v>3597084743.8924155</v>
      </c>
      <c r="AL43" s="176">
        <v>2859212289.658783</v>
      </c>
      <c r="AM43" s="176">
        <v>13527289221.533218</v>
      </c>
      <c r="AN43" s="176">
        <v>2682151952.6249537</v>
      </c>
      <c r="AO43" s="160">
        <v>1.1116670097244521</v>
      </c>
      <c r="AP43" s="176">
        <v>23749830198</v>
      </c>
      <c r="AQ43" s="176">
        <v>2074884391</v>
      </c>
      <c r="AR43" s="176">
        <v>631516654</v>
      </c>
      <c r="AS43" s="176">
        <v>903624302</v>
      </c>
      <c r="AT43" s="176">
        <v>948687255</v>
      </c>
      <c r="AU43" s="176">
        <v>1021963627</v>
      </c>
      <c r="AV43" s="176">
        <v>1062717123</v>
      </c>
      <c r="AW43" s="176">
        <v>3149060437</v>
      </c>
      <c r="AX43" s="176">
        <v>5285467486</v>
      </c>
      <c r="AY43" s="176">
        <v>5639290379</v>
      </c>
      <c r="AZ43" s="176">
        <v>1033615709</v>
      </c>
      <c r="BA43" s="176">
        <v>775076464</v>
      </c>
      <c r="BB43" s="176">
        <v>1223926371</v>
      </c>
      <c r="BC43" s="176">
        <v>3610025347</v>
      </c>
      <c r="BD43" s="176">
        <v>3033368005</v>
      </c>
      <c r="BE43" s="176">
        <v>14073818302</v>
      </c>
      <c r="BF43" s="176">
        <v>3032618544</v>
      </c>
      <c r="BG43" s="273">
        <v>23803304634</v>
      </c>
      <c r="BH43" s="273">
        <v>675914525</v>
      </c>
      <c r="BI43" s="273">
        <v>790122970</v>
      </c>
      <c r="BJ43" s="273">
        <v>985813699</v>
      </c>
      <c r="BK43" s="273">
        <v>1048203033</v>
      </c>
      <c r="BL43" s="273">
        <v>1019045738</v>
      </c>
      <c r="BM43" s="273">
        <v>1207788490</v>
      </c>
      <c r="BN43" s="273">
        <v>3754591562</v>
      </c>
      <c r="BO43" s="273">
        <v>6050150600</v>
      </c>
      <c r="BP43" s="273">
        <v>5168051480</v>
      </c>
      <c r="BQ43" s="298">
        <v>1084922275</v>
      </c>
      <c r="BR43" s="273">
        <v>805113719</v>
      </c>
      <c r="BS43" s="273">
        <v>1213586543</v>
      </c>
      <c r="BT43" s="176">
        <v>2451851194</v>
      </c>
      <c r="BU43" s="176">
        <v>3275037261</v>
      </c>
      <c r="BV43" s="176">
        <v>14972793642</v>
      </c>
      <c r="BW43" s="176">
        <v>3103622537</v>
      </c>
      <c r="BX43" s="272">
        <v>729023807</v>
      </c>
      <c r="BY43" s="273">
        <v>729023807</v>
      </c>
      <c r="BZ43" s="273"/>
      <c r="CA43" s="273"/>
      <c r="CB43" s="273"/>
      <c r="CC43" s="273"/>
      <c r="CD43" s="273"/>
      <c r="CE43" s="273"/>
      <c r="CF43" s="273"/>
      <c r="CG43" s="273"/>
      <c r="CH43" s="273"/>
      <c r="CI43" s="273"/>
      <c r="CJ43" s="273"/>
      <c r="CK43" s="274">
        <v>729023807</v>
      </c>
      <c r="CL43" s="274"/>
      <c r="CM43" s="274"/>
      <c r="CN43" s="274"/>
      <c r="CO43" s="156">
        <f t="shared" si="1"/>
        <v>53474436</v>
      </c>
      <c r="CP43" s="291">
        <f t="shared" si="2"/>
        <v>2.2515712977393475E-3</v>
      </c>
      <c r="CQ43" s="291">
        <f t="shared" si="3"/>
        <v>1.164837539184759</v>
      </c>
      <c r="CR43" s="291">
        <f t="shared" si="4"/>
        <v>1.0022515712977393</v>
      </c>
    </row>
    <row r="44" spans="1:96" s="161" customFormat="1" ht="18" hidden="1" customHeight="1" outlineLevel="1">
      <c r="A44" s="150" t="str">
        <f t="shared" si="0"/>
        <v>in</v>
      </c>
      <c r="B44" s="150"/>
      <c r="C44" s="157" t="s">
        <v>181</v>
      </c>
      <c r="D44" s="158">
        <v>7744542235</v>
      </c>
      <c r="E44" s="158">
        <v>1826419922</v>
      </c>
      <c r="F44" s="159">
        <v>634153334</v>
      </c>
      <c r="G44" s="159">
        <v>176055724</v>
      </c>
      <c r="H44" s="159">
        <v>509152255</v>
      </c>
      <c r="I44" s="159">
        <v>507058609</v>
      </c>
      <c r="J44" s="159">
        <v>591546399</v>
      </c>
      <c r="K44" s="159">
        <v>583071228</v>
      </c>
      <c r="L44" s="159">
        <v>657324010</v>
      </c>
      <c r="M44" s="159">
        <v>1091010837</v>
      </c>
      <c r="N44" s="159">
        <v>713786055</v>
      </c>
      <c r="O44" s="159">
        <v>778421341</v>
      </c>
      <c r="P44" s="159">
        <v>628461916</v>
      </c>
      <c r="Q44" s="159">
        <v>874500527</v>
      </c>
      <c r="R44" s="159">
        <v>1319361313</v>
      </c>
      <c r="S44" s="159">
        <v>1681676236</v>
      </c>
      <c r="T44" s="159">
        <v>2462120902</v>
      </c>
      <c r="U44" s="159">
        <v>2281383784</v>
      </c>
      <c r="V44" s="159">
        <v>8145399055.2141409</v>
      </c>
      <c r="W44" s="159">
        <v>8145399055.2141409</v>
      </c>
      <c r="X44" s="159">
        <v>498025554.17282581</v>
      </c>
      <c r="Y44" s="159">
        <v>490479712.44293499</v>
      </c>
      <c r="Z44" s="159">
        <v>618759021.85108757</v>
      </c>
      <c r="AA44" s="159">
        <v>603667338.39130402</v>
      </c>
      <c r="AB44" s="159">
        <v>603667338.39130402</v>
      </c>
      <c r="AC44" s="159">
        <v>565938129.74184704</v>
      </c>
      <c r="AD44" s="159">
        <v>625893862.27413082</v>
      </c>
      <c r="AE44" s="159">
        <v>1129821252.9494629</v>
      </c>
      <c r="AF44" s="159">
        <v>881219477.16989708</v>
      </c>
      <c r="AG44" s="159">
        <v>679125755.69021702</v>
      </c>
      <c r="AH44" s="159">
        <v>641396547.04076004</v>
      </c>
      <c r="AI44" s="159">
        <v>807405065.0983696</v>
      </c>
      <c r="AJ44" s="159"/>
      <c r="AK44" s="159">
        <v>1607264288.4668484</v>
      </c>
      <c r="AL44" s="159">
        <v>1773272806.5244551</v>
      </c>
      <c r="AM44" s="159">
        <v>2636934592.3934908</v>
      </c>
      <c r="AN44" s="159">
        <v>2127927367.8293467</v>
      </c>
      <c r="AO44" s="160">
        <v>1.0517599114383474</v>
      </c>
      <c r="AP44" s="159">
        <v>7895819974</v>
      </c>
      <c r="AQ44" s="159">
        <v>496667103</v>
      </c>
      <c r="AR44" s="159">
        <v>471041296</v>
      </c>
      <c r="AS44" s="159">
        <v>681117444</v>
      </c>
      <c r="AT44" s="159">
        <v>526548721</v>
      </c>
      <c r="AU44" s="159">
        <v>578313056</v>
      </c>
      <c r="AV44" s="159">
        <v>461357360</v>
      </c>
      <c r="AW44" s="159">
        <v>601086051</v>
      </c>
      <c r="AX44" s="159">
        <v>884507117</v>
      </c>
      <c r="AY44" s="159">
        <v>754910005</v>
      </c>
      <c r="AZ44" s="159">
        <v>822926380</v>
      </c>
      <c r="BA44" s="159">
        <v>647096844</v>
      </c>
      <c r="BB44" s="159">
        <v>970248597</v>
      </c>
      <c r="BC44" s="159">
        <v>1648825843</v>
      </c>
      <c r="BD44" s="159">
        <v>1566219137</v>
      </c>
      <c r="BE44" s="159">
        <v>2240503173</v>
      </c>
      <c r="BF44" s="159">
        <v>2440271821</v>
      </c>
      <c r="BG44" s="270">
        <v>8068351117</v>
      </c>
      <c r="BH44" s="270">
        <v>541703798</v>
      </c>
      <c r="BI44" s="270">
        <v>262430228</v>
      </c>
      <c r="BJ44" s="270">
        <v>696476310</v>
      </c>
      <c r="BK44" s="270">
        <v>541703798</v>
      </c>
      <c r="BL44" s="270">
        <v>558547138</v>
      </c>
      <c r="BM44" s="270">
        <v>541703798</v>
      </c>
      <c r="BN44" s="270">
        <v>729448854</v>
      </c>
      <c r="BO44" s="270">
        <v>972890168</v>
      </c>
      <c r="BP44" s="270">
        <v>932130780</v>
      </c>
      <c r="BQ44" s="260">
        <v>773862568</v>
      </c>
      <c r="BR44" s="270">
        <v>588818597</v>
      </c>
      <c r="BS44" s="270">
        <v>928635080</v>
      </c>
      <c r="BT44" s="159">
        <v>1500610336</v>
      </c>
      <c r="BU44" s="159">
        <v>1641954734</v>
      </c>
      <c r="BV44" s="159">
        <v>2634469802</v>
      </c>
      <c r="BW44" s="159">
        <v>2291316245</v>
      </c>
      <c r="BX44" s="269">
        <v>604813081</v>
      </c>
      <c r="BY44" s="270">
        <v>604813081</v>
      </c>
      <c r="BZ44" s="270"/>
      <c r="CA44" s="270"/>
      <c r="CB44" s="270"/>
      <c r="CC44" s="270"/>
      <c r="CD44" s="270"/>
      <c r="CE44" s="270"/>
      <c r="CF44" s="270"/>
      <c r="CG44" s="270"/>
      <c r="CH44" s="270"/>
      <c r="CI44" s="270"/>
      <c r="CJ44" s="270"/>
      <c r="CK44" s="271">
        <v>604813081</v>
      </c>
      <c r="CL44" s="271"/>
      <c r="CM44" s="271"/>
      <c r="CN44" s="271"/>
      <c r="CO44" s="156">
        <f t="shared" si="1"/>
        <v>172531143</v>
      </c>
      <c r="CP44" s="291">
        <f t="shared" si="2"/>
        <v>2.1850946902047492E-2</v>
      </c>
      <c r="CQ44" s="291">
        <f t="shared" si="3"/>
        <v>1.0195334642654963</v>
      </c>
      <c r="CR44" s="291">
        <f t="shared" si="4"/>
        <v>1.0218509469020476</v>
      </c>
    </row>
    <row r="45" spans="1:96" s="161" customFormat="1" ht="18" hidden="1" customHeight="1" outlineLevel="1">
      <c r="A45" s="150" t="str">
        <f t="shared" si="0"/>
        <v>in</v>
      </c>
      <c r="B45" s="150"/>
      <c r="C45" s="157" t="s">
        <v>182</v>
      </c>
      <c r="D45" s="166">
        <v>12264553202</v>
      </c>
      <c r="E45" s="166">
        <v>826340155</v>
      </c>
      <c r="F45" s="159">
        <v>185752368</v>
      </c>
      <c r="G45" s="159">
        <v>108767931</v>
      </c>
      <c r="H45" s="159">
        <v>165353473</v>
      </c>
      <c r="I45" s="159">
        <v>366466383</v>
      </c>
      <c r="J45" s="159">
        <v>526416469</v>
      </c>
      <c r="K45" s="159">
        <v>687340062</v>
      </c>
      <c r="L45" s="159">
        <v>3672031621</v>
      </c>
      <c r="M45" s="159">
        <v>4645960168</v>
      </c>
      <c r="N45" s="159">
        <v>1355011346</v>
      </c>
      <c r="O45" s="159">
        <v>199339964</v>
      </c>
      <c r="P45" s="159">
        <v>209357181</v>
      </c>
      <c r="Q45" s="159">
        <v>142756236</v>
      </c>
      <c r="R45" s="159">
        <v>459873772</v>
      </c>
      <c r="S45" s="159">
        <v>1580222914</v>
      </c>
      <c r="T45" s="159">
        <v>9673003135</v>
      </c>
      <c r="U45" s="159">
        <v>551453381</v>
      </c>
      <c r="V45" s="159">
        <v>12934446927.477047</v>
      </c>
      <c r="W45" s="159">
        <v>12934446927.477047</v>
      </c>
      <c r="X45" s="159">
        <v>191940886</v>
      </c>
      <c r="Y45" s="159">
        <v>146935312</v>
      </c>
      <c r="Z45" s="159">
        <v>156915527.42556715</v>
      </c>
      <c r="AA45" s="159">
        <v>325495929.15997505</v>
      </c>
      <c r="AB45" s="159">
        <v>372009367.70763969</v>
      </c>
      <c r="AC45" s="159">
        <v>357691279.17580414</v>
      </c>
      <c r="AD45" s="159">
        <v>3531121233.8113937</v>
      </c>
      <c r="AE45" s="159">
        <v>4455352285.7443924</v>
      </c>
      <c r="AF45" s="159">
        <v>2871192610.1293945</v>
      </c>
      <c r="AG45" s="159">
        <v>237741105.26888847</v>
      </c>
      <c r="AH45" s="159">
        <v>176797715.86036396</v>
      </c>
      <c r="AI45" s="159">
        <v>111253675.19362736</v>
      </c>
      <c r="AJ45" s="159"/>
      <c r="AK45" s="159">
        <v>495791725.42556715</v>
      </c>
      <c r="AL45" s="159">
        <v>1055196576.0434189</v>
      </c>
      <c r="AM45" s="159">
        <v>10857666129.685181</v>
      </c>
      <c r="AN45" s="159">
        <v>525792496.32287979</v>
      </c>
      <c r="AO45" s="160">
        <v>1.0546203122481304</v>
      </c>
      <c r="AP45" s="159">
        <v>13888081131</v>
      </c>
      <c r="AQ45" s="159">
        <v>191940886</v>
      </c>
      <c r="AR45" s="159">
        <v>145887312</v>
      </c>
      <c r="AS45" s="159">
        <v>129342576</v>
      </c>
      <c r="AT45" s="159">
        <v>385856716</v>
      </c>
      <c r="AU45" s="159">
        <v>417368753</v>
      </c>
      <c r="AV45" s="159">
        <v>424062432</v>
      </c>
      <c r="AW45" s="159">
        <v>2531692568</v>
      </c>
      <c r="AX45" s="159">
        <v>4384678551</v>
      </c>
      <c r="AY45" s="159">
        <v>4777412350</v>
      </c>
      <c r="AZ45" s="159">
        <v>207917511</v>
      </c>
      <c r="BA45" s="159">
        <v>135207802</v>
      </c>
      <c r="BB45" s="159">
        <v>156713674</v>
      </c>
      <c r="BC45" s="159">
        <v>467170774</v>
      </c>
      <c r="BD45" s="159">
        <v>1227287901</v>
      </c>
      <c r="BE45" s="159">
        <v>11693783469</v>
      </c>
      <c r="BF45" s="159">
        <v>499838987</v>
      </c>
      <c r="BG45" s="270">
        <v>14890178996</v>
      </c>
      <c r="BH45" s="270">
        <v>131438909</v>
      </c>
      <c r="BI45" s="270">
        <v>141994945</v>
      </c>
      <c r="BJ45" s="270">
        <v>213994861</v>
      </c>
      <c r="BK45" s="270">
        <v>493727417</v>
      </c>
      <c r="BL45" s="270">
        <v>457726782</v>
      </c>
      <c r="BM45" s="270">
        <v>543195810</v>
      </c>
      <c r="BN45" s="270">
        <v>3002370890</v>
      </c>
      <c r="BO45" s="270">
        <v>5064488614</v>
      </c>
      <c r="BP45" s="270">
        <v>4133662486</v>
      </c>
      <c r="BQ45" s="260">
        <v>308287889</v>
      </c>
      <c r="BR45" s="270">
        <v>213523304</v>
      </c>
      <c r="BS45" s="270">
        <v>185767089</v>
      </c>
      <c r="BT45" s="159">
        <v>487428715</v>
      </c>
      <c r="BU45" s="159">
        <v>1494650009</v>
      </c>
      <c r="BV45" s="159">
        <v>12200521990</v>
      </c>
      <c r="BW45" s="159">
        <v>707578282</v>
      </c>
      <c r="BX45" s="269">
        <v>131438908</v>
      </c>
      <c r="BY45" s="270">
        <v>131438908</v>
      </c>
      <c r="BZ45" s="270"/>
      <c r="CA45" s="270"/>
      <c r="CB45" s="270"/>
      <c r="CC45" s="270"/>
      <c r="CD45" s="270"/>
      <c r="CE45" s="270"/>
      <c r="CF45" s="270"/>
      <c r="CG45" s="270"/>
      <c r="CH45" s="270"/>
      <c r="CI45" s="270"/>
      <c r="CJ45" s="270"/>
      <c r="CK45" s="271">
        <v>131438908</v>
      </c>
      <c r="CL45" s="271"/>
      <c r="CM45" s="271"/>
      <c r="CN45" s="271"/>
      <c r="CO45" s="156">
        <f t="shared" si="1"/>
        <v>1002097865</v>
      </c>
      <c r="CP45" s="291">
        <f t="shared" si="2"/>
        <v>7.215524272559061E-2</v>
      </c>
      <c r="CQ45" s="161">
        <f>CO13-CO34</f>
        <v>754171114</v>
      </c>
      <c r="CR45" s="291">
        <f>CQ45/CO34</f>
        <v>7.7302998893759203E-2</v>
      </c>
    </row>
    <row r="46" spans="1:96" s="161" customFormat="1" ht="18" hidden="1" customHeight="1" outlineLevel="1">
      <c r="A46" s="150" t="str">
        <f t="shared" si="0"/>
        <v>in</v>
      </c>
      <c r="B46" s="150"/>
      <c r="C46" s="157" t="s">
        <v>183</v>
      </c>
      <c r="D46" s="166"/>
      <c r="E46" s="166"/>
      <c r="F46" s="159">
        <v>0</v>
      </c>
      <c r="G46" s="159">
        <v>0</v>
      </c>
      <c r="H46" s="159">
        <v>0</v>
      </c>
      <c r="I46" s="159">
        <v>0</v>
      </c>
      <c r="J46" s="159">
        <v>0</v>
      </c>
      <c r="K46" s="159">
        <v>0</v>
      </c>
      <c r="L46" s="159">
        <v>0</v>
      </c>
      <c r="M46" s="159">
        <v>0</v>
      </c>
      <c r="N46" s="159">
        <v>0</v>
      </c>
      <c r="O46" s="159">
        <v>0</v>
      </c>
      <c r="P46" s="159">
        <v>0</v>
      </c>
      <c r="Q46" s="159">
        <v>274625640</v>
      </c>
      <c r="R46" s="159">
        <v>0</v>
      </c>
      <c r="S46" s="159">
        <v>0</v>
      </c>
      <c r="T46" s="159">
        <v>0</v>
      </c>
      <c r="U46" s="159">
        <v>274625640</v>
      </c>
      <c r="V46" s="159">
        <v>1408300812</v>
      </c>
      <c r="W46" s="159">
        <v>1408300812</v>
      </c>
      <c r="X46" s="159">
        <v>1386276402</v>
      </c>
      <c r="Y46" s="159">
        <v>22024410</v>
      </c>
      <c r="Z46" s="159">
        <v>0</v>
      </c>
      <c r="AA46" s="159">
        <v>0</v>
      </c>
      <c r="AB46" s="159">
        <v>0</v>
      </c>
      <c r="AC46" s="159">
        <v>0</v>
      </c>
      <c r="AD46" s="159">
        <v>0</v>
      </c>
      <c r="AE46" s="159">
        <v>0</v>
      </c>
      <c r="AF46" s="159">
        <v>0</v>
      </c>
      <c r="AG46" s="159">
        <v>0</v>
      </c>
      <c r="AH46" s="159">
        <v>0</v>
      </c>
      <c r="AI46" s="159">
        <v>0</v>
      </c>
      <c r="AJ46" s="159"/>
      <c r="AK46" s="159">
        <v>1408300812</v>
      </c>
      <c r="AL46" s="159">
        <v>0</v>
      </c>
      <c r="AM46" s="159">
        <v>0</v>
      </c>
      <c r="AN46" s="159">
        <v>0</v>
      </c>
      <c r="AO46" s="160"/>
      <c r="AP46" s="159">
        <v>1408300812</v>
      </c>
      <c r="AQ46" s="159">
        <v>1386276402</v>
      </c>
      <c r="AR46" s="159">
        <v>22024410</v>
      </c>
      <c r="AS46" s="159">
        <v>0</v>
      </c>
      <c r="AT46" s="159">
        <v>0</v>
      </c>
      <c r="AU46" s="159">
        <v>0</v>
      </c>
      <c r="AV46" s="159">
        <v>0</v>
      </c>
      <c r="AW46" s="159">
        <v>0</v>
      </c>
      <c r="AX46" s="159">
        <v>0</v>
      </c>
      <c r="AY46" s="159">
        <v>0</v>
      </c>
      <c r="AZ46" s="159">
        <v>0</v>
      </c>
      <c r="BA46" s="159">
        <v>0</v>
      </c>
      <c r="BB46" s="159">
        <v>0</v>
      </c>
      <c r="BC46" s="159">
        <v>1408300812</v>
      </c>
      <c r="BD46" s="159">
        <v>0</v>
      </c>
      <c r="BE46" s="159">
        <v>0</v>
      </c>
      <c r="BF46" s="159">
        <v>0</v>
      </c>
      <c r="BG46" s="270">
        <v>382925979</v>
      </c>
      <c r="BH46" s="270">
        <v>0</v>
      </c>
      <c r="BI46" s="270">
        <v>382925979</v>
      </c>
      <c r="BJ46" s="270">
        <v>0</v>
      </c>
      <c r="BK46" s="270">
        <v>0</v>
      </c>
      <c r="BL46" s="270">
        <v>0</v>
      </c>
      <c r="BM46" s="270">
        <v>0</v>
      </c>
      <c r="BN46" s="270">
        <v>0</v>
      </c>
      <c r="BO46" s="270">
        <v>0</v>
      </c>
      <c r="BP46" s="270">
        <v>0</v>
      </c>
      <c r="BQ46" s="260">
        <v>0</v>
      </c>
      <c r="BR46" s="270">
        <v>0</v>
      </c>
      <c r="BS46" s="270">
        <v>0</v>
      </c>
      <c r="BT46" s="159">
        <v>382925979</v>
      </c>
      <c r="BU46" s="159">
        <v>0</v>
      </c>
      <c r="BV46" s="159">
        <v>0</v>
      </c>
      <c r="BW46" s="159">
        <v>0</v>
      </c>
      <c r="BX46" s="269">
        <v>0</v>
      </c>
      <c r="BY46" s="270">
        <v>0</v>
      </c>
      <c r="BZ46" s="270"/>
      <c r="CA46" s="270"/>
      <c r="CB46" s="270"/>
      <c r="CC46" s="270"/>
      <c r="CD46" s="270"/>
      <c r="CE46" s="270"/>
      <c r="CF46" s="270"/>
      <c r="CG46" s="270"/>
      <c r="CH46" s="270"/>
      <c r="CI46" s="270"/>
      <c r="CJ46" s="270"/>
      <c r="CK46" s="271">
        <v>0</v>
      </c>
      <c r="CL46" s="271"/>
      <c r="CM46" s="271"/>
      <c r="CN46" s="271"/>
      <c r="CO46" s="156">
        <f t="shared" si="1"/>
        <v>-1025374833</v>
      </c>
      <c r="CP46" s="291">
        <f t="shared" si="2"/>
        <v>-0.72809361768656</v>
      </c>
    </row>
    <row r="47" spans="1:96" s="161" customFormat="1" ht="15.5" hidden="1" outlineLevel="1">
      <c r="A47" s="150" t="str">
        <f t="shared" si="0"/>
        <v>in</v>
      </c>
      <c r="B47" s="150"/>
      <c r="C47" s="157" t="s">
        <v>184</v>
      </c>
      <c r="D47" s="166">
        <v>105242533</v>
      </c>
      <c r="E47" s="166">
        <v>0</v>
      </c>
      <c r="F47" s="166">
        <v>0</v>
      </c>
      <c r="G47" s="166">
        <v>0</v>
      </c>
      <c r="H47" s="166">
        <v>0</v>
      </c>
      <c r="I47" s="166">
        <v>0</v>
      </c>
      <c r="J47" s="166">
        <v>-1015601</v>
      </c>
      <c r="K47" s="166">
        <v>30603636</v>
      </c>
      <c r="L47" s="166">
        <v>17376364</v>
      </c>
      <c r="M47" s="166">
        <v>-2623636</v>
      </c>
      <c r="N47" s="166">
        <v>15191136</v>
      </c>
      <c r="O47" s="166">
        <v>-3718182</v>
      </c>
      <c r="P47" s="166">
        <v>6281818</v>
      </c>
      <c r="Q47" s="166">
        <v>43146998</v>
      </c>
      <c r="R47" s="166">
        <v>0</v>
      </c>
      <c r="S47" s="166">
        <v>29588035</v>
      </c>
      <c r="T47" s="166">
        <v>29943864</v>
      </c>
      <c r="U47" s="166">
        <v>45710634</v>
      </c>
      <c r="V47" s="166">
        <v>177591413.01818183</v>
      </c>
      <c r="W47" s="166">
        <v>177591413.01818183</v>
      </c>
      <c r="X47" s="166">
        <v>-3718182</v>
      </c>
      <c r="Y47" s="166">
        <v>-3718182</v>
      </c>
      <c r="Z47" s="166">
        <v>93164282</v>
      </c>
      <c r="AA47" s="166">
        <v>-3718182</v>
      </c>
      <c r="AB47" s="166">
        <v>-3718182</v>
      </c>
      <c r="AC47" s="166">
        <v>38179271.090909101</v>
      </c>
      <c r="AD47" s="166">
        <v>-3718182</v>
      </c>
      <c r="AE47" s="166">
        <v>-3718182</v>
      </c>
      <c r="AF47" s="166">
        <v>40124863.454545453</v>
      </c>
      <c r="AG47" s="166">
        <v>-3718182</v>
      </c>
      <c r="AH47" s="166">
        <v>-3718182</v>
      </c>
      <c r="AI47" s="166">
        <v>35868452.472727269</v>
      </c>
      <c r="AJ47" s="166"/>
      <c r="AK47" s="166">
        <v>85727918</v>
      </c>
      <c r="AL47" s="166">
        <v>30742907.090909101</v>
      </c>
      <c r="AM47" s="166">
        <v>32688499.454545453</v>
      </c>
      <c r="AN47" s="166">
        <v>28432088.472727269</v>
      </c>
      <c r="AO47" s="160">
        <v>1.687449056534793</v>
      </c>
      <c r="AP47" s="166">
        <v>555257481</v>
      </c>
      <c r="AQ47" s="166">
        <v>0</v>
      </c>
      <c r="AR47" s="166">
        <v>-7436364</v>
      </c>
      <c r="AS47" s="166">
        <v>93164282</v>
      </c>
      <c r="AT47" s="166">
        <v>36281818</v>
      </c>
      <c r="AU47" s="166">
        <v>26281818</v>
      </c>
      <c r="AV47" s="166">
        <v>177297331</v>
      </c>
      <c r="AW47" s="166">
        <v>16281818</v>
      </c>
      <c r="AX47" s="166">
        <v>16281818</v>
      </c>
      <c r="AY47" s="166">
        <v>106968024</v>
      </c>
      <c r="AZ47" s="166">
        <v>2771818</v>
      </c>
      <c r="BA47" s="166">
        <v>-7228182</v>
      </c>
      <c r="BB47" s="166">
        <v>94593300</v>
      </c>
      <c r="BC47" s="166">
        <v>85727918</v>
      </c>
      <c r="BD47" s="166">
        <v>239860967</v>
      </c>
      <c r="BE47" s="166">
        <v>139531660</v>
      </c>
      <c r="BF47" s="166">
        <v>90136936</v>
      </c>
      <c r="BG47" s="270">
        <v>461848542</v>
      </c>
      <c r="BH47" s="270">
        <v>2771818</v>
      </c>
      <c r="BI47" s="270">
        <v>2771818</v>
      </c>
      <c r="BJ47" s="270">
        <v>75342528</v>
      </c>
      <c r="BK47" s="270">
        <v>12771818</v>
      </c>
      <c r="BL47" s="270">
        <v>2771818</v>
      </c>
      <c r="BM47" s="270">
        <v>122888882</v>
      </c>
      <c r="BN47" s="270">
        <v>22771818</v>
      </c>
      <c r="BO47" s="270">
        <v>12771818</v>
      </c>
      <c r="BP47" s="270">
        <v>102258214</v>
      </c>
      <c r="BQ47" s="264">
        <v>2771818</v>
      </c>
      <c r="BR47" s="270">
        <v>2771818</v>
      </c>
      <c r="BS47" s="270">
        <v>99184374</v>
      </c>
      <c r="BT47" s="166">
        <v>80886164</v>
      </c>
      <c r="BU47" s="166">
        <v>138432518</v>
      </c>
      <c r="BV47" s="166">
        <v>137801850</v>
      </c>
      <c r="BW47" s="166">
        <v>104728010</v>
      </c>
      <c r="BX47" s="269">
        <v>-7228182</v>
      </c>
      <c r="BY47" s="270">
        <v>-7228182</v>
      </c>
      <c r="BZ47" s="270"/>
      <c r="CA47" s="270"/>
      <c r="CB47" s="270"/>
      <c r="CC47" s="270"/>
      <c r="CD47" s="270"/>
      <c r="CE47" s="270"/>
      <c r="CF47" s="270"/>
      <c r="CG47" s="270"/>
      <c r="CH47" s="270"/>
      <c r="CI47" s="270"/>
      <c r="CJ47" s="270"/>
      <c r="CK47" s="271">
        <v>-7228182</v>
      </c>
      <c r="CL47" s="271"/>
      <c r="CM47" s="271"/>
      <c r="CN47" s="271"/>
      <c r="CO47" s="156">
        <f t="shared" si="1"/>
        <v>-93408939</v>
      </c>
      <c r="CP47" s="291">
        <f t="shared" si="2"/>
        <v>-0.16822634938978878</v>
      </c>
    </row>
    <row r="48" spans="1:96" s="165" customFormat="1" ht="15.5" hidden="1" outlineLevel="2">
      <c r="A48" s="150" t="str">
        <f t="shared" si="0"/>
        <v>ẩn</v>
      </c>
      <c r="B48" s="162"/>
      <c r="C48" s="163" t="s">
        <v>185</v>
      </c>
      <c r="D48" s="164">
        <v>0</v>
      </c>
      <c r="E48" s="164">
        <v>0</v>
      </c>
      <c r="F48" s="164">
        <v>0</v>
      </c>
      <c r="G48" s="164">
        <v>0</v>
      </c>
      <c r="H48" s="164">
        <v>0</v>
      </c>
      <c r="I48" s="164">
        <v>0</v>
      </c>
      <c r="J48" s="164">
        <v>0</v>
      </c>
      <c r="K48" s="164">
        <v>0</v>
      </c>
      <c r="L48" s="164">
        <v>0</v>
      </c>
      <c r="M48" s="164">
        <v>0</v>
      </c>
      <c r="N48" s="164">
        <v>0</v>
      </c>
      <c r="O48" s="164">
        <v>0</v>
      </c>
      <c r="P48" s="164">
        <v>0</v>
      </c>
      <c r="Q48" s="164">
        <v>0</v>
      </c>
      <c r="R48" s="164">
        <v>0</v>
      </c>
      <c r="S48" s="164">
        <v>0</v>
      </c>
      <c r="T48" s="164">
        <v>0</v>
      </c>
      <c r="U48" s="164">
        <v>0</v>
      </c>
      <c r="V48" s="164">
        <v>0</v>
      </c>
      <c r="W48" s="164">
        <v>0</v>
      </c>
      <c r="X48" s="164">
        <v>0</v>
      </c>
      <c r="Y48" s="164">
        <v>0</v>
      </c>
      <c r="Z48" s="164">
        <v>0</v>
      </c>
      <c r="AA48" s="164">
        <v>0</v>
      </c>
      <c r="AB48" s="164">
        <v>0</v>
      </c>
      <c r="AC48" s="164">
        <v>0</v>
      </c>
      <c r="AD48" s="164">
        <v>0</v>
      </c>
      <c r="AE48" s="164">
        <v>0</v>
      </c>
      <c r="AF48" s="164">
        <v>0</v>
      </c>
      <c r="AG48" s="164">
        <v>0</v>
      </c>
      <c r="AH48" s="164">
        <v>0</v>
      </c>
      <c r="AI48" s="164">
        <v>0</v>
      </c>
      <c r="AJ48" s="164"/>
      <c r="AK48" s="164">
        <v>0</v>
      </c>
      <c r="AL48" s="164">
        <v>0</v>
      </c>
      <c r="AM48" s="164">
        <v>0</v>
      </c>
      <c r="AN48" s="164">
        <v>0</v>
      </c>
      <c r="AO48" s="160"/>
      <c r="AP48" s="164">
        <v>0</v>
      </c>
      <c r="AQ48" s="164">
        <v>0</v>
      </c>
      <c r="AR48" s="164">
        <v>0</v>
      </c>
      <c r="AS48" s="164">
        <v>0</v>
      </c>
      <c r="AT48" s="164">
        <v>0</v>
      </c>
      <c r="AU48" s="164">
        <v>0</v>
      </c>
      <c r="AV48" s="164">
        <v>0</v>
      </c>
      <c r="AW48" s="164">
        <v>0</v>
      </c>
      <c r="AX48" s="164">
        <v>0</v>
      </c>
      <c r="AY48" s="164">
        <v>0</v>
      </c>
      <c r="AZ48" s="164">
        <v>0</v>
      </c>
      <c r="BA48" s="164">
        <v>0</v>
      </c>
      <c r="BB48" s="164">
        <v>0</v>
      </c>
      <c r="BC48" s="164">
        <v>0</v>
      </c>
      <c r="BD48" s="164">
        <v>0</v>
      </c>
      <c r="BE48" s="164">
        <v>0</v>
      </c>
      <c r="BF48" s="164">
        <v>0</v>
      </c>
      <c r="BG48" s="280">
        <v>0</v>
      </c>
      <c r="BH48" s="280">
        <v>0</v>
      </c>
      <c r="BI48" s="280">
        <v>0</v>
      </c>
      <c r="BJ48" s="280">
        <v>0</v>
      </c>
      <c r="BK48" s="280">
        <v>0</v>
      </c>
      <c r="BL48" s="280">
        <v>0</v>
      </c>
      <c r="BM48" s="280">
        <v>0</v>
      </c>
      <c r="BN48" s="280">
        <v>0</v>
      </c>
      <c r="BO48" s="280">
        <v>0</v>
      </c>
      <c r="BP48" s="280">
        <v>0</v>
      </c>
      <c r="BQ48" s="261">
        <v>0</v>
      </c>
      <c r="BR48" s="280">
        <v>0</v>
      </c>
      <c r="BS48" s="280">
        <v>0</v>
      </c>
      <c r="BT48" s="164">
        <v>0</v>
      </c>
      <c r="BU48" s="164">
        <v>0</v>
      </c>
      <c r="BV48" s="164">
        <v>0</v>
      </c>
      <c r="BW48" s="164">
        <v>0</v>
      </c>
      <c r="BX48" s="279">
        <v>0</v>
      </c>
      <c r="BY48" s="280">
        <v>0</v>
      </c>
      <c r="BZ48" s="280"/>
      <c r="CA48" s="280"/>
      <c r="CB48" s="280"/>
      <c r="CC48" s="280"/>
      <c r="CD48" s="280"/>
      <c r="CE48" s="280"/>
      <c r="CF48" s="280"/>
      <c r="CG48" s="280"/>
      <c r="CH48" s="280"/>
      <c r="CI48" s="280"/>
      <c r="CJ48" s="280"/>
      <c r="CK48" s="281">
        <v>0</v>
      </c>
      <c r="CL48" s="281"/>
      <c r="CM48" s="281"/>
      <c r="CN48" s="281"/>
      <c r="CO48" s="156">
        <f t="shared" si="1"/>
        <v>0</v>
      </c>
      <c r="CP48" s="291" t="str">
        <f t="shared" si="2"/>
        <v/>
      </c>
    </row>
    <row r="49" spans="1:94" s="165" customFormat="1" ht="15.5" hidden="1" outlineLevel="2">
      <c r="A49" s="150" t="str">
        <f t="shared" si="0"/>
        <v>in</v>
      </c>
      <c r="B49" s="162"/>
      <c r="C49" s="163" t="s">
        <v>186</v>
      </c>
      <c r="D49" s="164">
        <v>70000000</v>
      </c>
      <c r="E49" s="164">
        <v>0</v>
      </c>
      <c r="F49" s="164">
        <v>0</v>
      </c>
      <c r="G49" s="164">
        <v>0</v>
      </c>
      <c r="H49" s="164">
        <v>0</v>
      </c>
      <c r="I49" s="164">
        <v>0</v>
      </c>
      <c r="J49" s="164">
        <v>0</v>
      </c>
      <c r="K49" s="164">
        <v>20000000</v>
      </c>
      <c r="L49" s="164">
        <v>20000000</v>
      </c>
      <c r="M49" s="164">
        <v>0</v>
      </c>
      <c r="N49" s="164">
        <v>0</v>
      </c>
      <c r="O49" s="164">
        <v>0</v>
      </c>
      <c r="P49" s="164">
        <v>10000000</v>
      </c>
      <c r="Q49" s="164">
        <v>20000000</v>
      </c>
      <c r="R49" s="164">
        <v>0</v>
      </c>
      <c r="S49" s="164">
        <v>20000000</v>
      </c>
      <c r="T49" s="164">
        <v>20000000</v>
      </c>
      <c r="U49" s="164">
        <v>30000000</v>
      </c>
      <c r="V49" s="164">
        <v>80000000</v>
      </c>
      <c r="W49" s="164">
        <v>80000000</v>
      </c>
      <c r="X49" s="164">
        <v>0</v>
      </c>
      <c r="Y49" s="164">
        <v>0</v>
      </c>
      <c r="Z49" s="164">
        <v>40000000</v>
      </c>
      <c r="AA49" s="164">
        <v>0</v>
      </c>
      <c r="AB49" s="164">
        <v>0</v>
      </c>
      <c r="AC49" s="164">
        <v>10000000</v>
      </c>
      <c r="AD49" s="164">
        <v>0</v>
      </c>
      <c r="AE49" s="164">
        <v>0</v>
      </c>
      <c r="AF49" s="164">
        <v>20000000</v>
      </c>
      <c r="AG49" s="164">
        <v>0</v>
      </c>
      <c r="AH49" s="164">
        <v>0</v>
      </c>
      <c r="AI49" s="164">
        <v>10000000</v>
      </c>
      <c r="AJ49" s="164"/>
      <c r="AK49" s="164">
        <v>40000000</v>
      </c>
      <c r="AL49" s="164">
        <v>10000000</v>
      </c>
      <c r="AM49" s="164">
        <v>20000000</v>
      </c>
      <c r="AN49" s="164">
        <v>10000000</v>
      </c>
      <c r="AO49" s="160">
        <v>1.1428571428571428</v>
      </c>
      <c r="AP49" s="164">
        <v>280000000</v>
      </c>
      <c r="AQ49" s="164">
        <v>0</v>
      </c>
      <c r="AR49" s="164">
        <v>0</v>
      </c>
      <c r="AS49" s="164">
        <v>40000000</v>
      </c>
      <c r="AT49" s="164">
        <v>40000000</v>
      </c>
      <c r="AU49" s="164">
        <v>30000000</v>
      </c>
      <c r="AV49" s="164">
        <v>90000000</v>
      </c>
      <c r="AW49" s="164">
        <v>20000000</v>
      </c>
      <c r="AX49" s="164">
        <v>20000000</v>
      </c>
      <c r="AY49" s="164">
        <v>20000000</v>
      </c>
      <c r="AZ49" s="164">
        <v>10000000</v>
      </c>
      <c r="BA49" s="164">
        <v>0</v>
      </c>
      <c r="BB49" s="164">
        <v>10000000</v>
      </c>
      <c r="BC49" s="164">
        <v>40000000</v>
      </c>
      <c r="BD49" s="164">
        <v>160000000</v>
      </c>
      <c r="BE49" s="164">
        <v>60000000</v>
      </c>
      <c r="BF49" s="164">
        <v>20000000</v>
      </c>
      <c r="BG49" s="280">
        <v>200000000</v>
      </c>
      <c r="BH49" s="280">
        <v>10000000</v>
      </c>
      <c r="BI49" s="280">
        <v>10000000</v>
      </c>
      <c r="BJ49" s="280">
        <v>20000000</v>
      </c>
      <c r="BK49" s="280">
        <v>20000000</v>
      </c>
      <c r="BL49" s="280">
        <v>10000000</v>
      </c>
      <c r="BM49" s="280">
        <v>30000000</v>
      </c>
      <c r="BN49" s="280">
        <v>30000000</v>
      </c>
      <c r="BO49" s="280">
        <v>20000000</v>
      </c>
      <c r="BP49" s="280">
        <v>20000000</v>
      </c>
      <c r="BQ49" s="261">
        <v>10000000</v>
      </c>
      <c r="BR49" s="280">
        <v>10000000</v>
      </c>
      <c r="BS49" s="280">
        <v>10000000</v>
      </c>
      <c r="BT49" s="164">
        <v>40000000</v>
      </c>
      <c r="BU49" s="164">
        <v>60000000</v>
      </c>
      <c r="BV49" s="164">
        <v>70000000</v>
      </c>
      <c r="BW49" s="164">
        <v>30000000</v>
      </c>
      <c r="BX49" s="279">
        <v>0</v>
      </c>
      <c r="BY49" s="280">
        <v>0</v>
      </c>
      <c r="BZ49" s="280"/>
      <c r="CA49" s="280"/>
      <c r="CB49" s="280"/>
      <c r="CC49" s="280"/>
      <c r="CD49" s="280"/>
      <c r="CE49" s="280"/>
      <c r="CF49" s="280"/>
      <c r="CG49" s="280"/>
      <c r="CH49" s="280"/>
      <c r="CI49" s="280"/>
      <c r="CJ49" s="280"/>
      <c r="CK49" s="281">
        <v>0</v>
      </c>
      <c r="CL49" s="281"/>
      <c r="CM49" s="281"/>
      <c r="CN49" s="281"/>
      <c r="CO49" s="156">
        <f t="shared" si="1"/>
        <v>-80000000</v>
      </c>
      <c r="CP49" s="291">
        <f t="shared" si="2"/>
        <v>-0.2857142857142857</v>
      </c>
    </row>
    <row r="50" spans="1:94" s="165" customFormat="1" ht="15.5" hidden="1" outlineLevel="2">
      <c r="A50" s="150" t="str">
        <f t="shared" si="0"/>
        <v>in</v>
      </c>
      <c r="B50" s="162"/>
      <c r="C50" s="163" t="s">
        <v>187</v>
      </c>
      <c r="D50" s="164">
        <v>35242533</v>
      </c>
      <c r="E50" s="164">
        <v>0</v>
      </c>
      <c r="F50" s="164">
        <v>0</v>
      </c>
      <c r="G50" s="164">
        <v>0</v>
      </c>
      <c r="H50" s="164">
        <v>0</v>
      </c>
      <c r="I50" s="164">
        <v>0</v>
      </c>
      <c r="J50" s="164">
        <v>-1015601</v>
      </c>
      <c r="K50" s="164">
        <v>10603636</v>
      </c>
      <c r="L50" s="164">
        <v>-2623636</v>
      </c>
      <c r="M50" s="164">
        <v>-2623636</v>
      </c>
      <c r="N50" s="164">
        <v>15191136</v>
      </c>
      <c r="O50" s="164">
        <v>-3718182</v>
      </c>
      <c r="P50" s="164">
        <v>-3718182</v>
      </c>
      <c r="Q50" s="164">
        <v>23146998</v>
      </c>
      <c r="R50" s="164">
        <v>0</v>
      </c>
      <c r="S50" s="164">
        <v>9588035</v>
      </c>
      <c r="T50" s="164">
        <v>9943864</v>
      </c>
      <c r="U50" s="164">
        <v>15710634</v>
      </c>
      <c r="V50" s="164">
        <v>97591413.018181831</v>
      </c>
      <c r="W50" s="164">
        <v>97591413.018181831</v>
      </c>
      <c r="X50" s="164">
        <v>-3718182</v>
      </c>
      <c r="Y50" s="164">
        <v>-3718182</v>
      </c>
      <c r="Z50" s="164">
        <v>53164282</v>
      </c>
      <c r="AA50" s="164">
        <v>-3718182</v>
      </c>
      <c r="AB50" s="164">
        <v>-3718182</v>
      </c>
      <c r="AC50" s="164">
        <v>28179271.090909101</v>
      </c>
      <c r="AD50" s="164">
        <v>-3718182</v>
      </c>
      <c r="AE50" s="164">
        <v>-3718182</v>
      </c>
      <c r="AF50" s="164">
        <v>20124863.454545453</v>
      </c>
      <c r="AG50" s="164">
        <v>-3718182</v>
      </c>
      <c r="AH50" s="164">
        <v>-3718182</v>
      </c>
      <c r="AI50" s="164">
        <v>25868452.472727269</v>
      </c>
      <c r="AJ50" s="164"/>
      <c r="AK50" s="164">
        <v>45727918</v>
      </c>
      <c r="AL50" s="164">
        <v>20742907.090909101</v>
      </c>
      <c r="AM50" s="164">
        <v>12688499.454545453</v>
      </c>
      <c r="AN50" s="164">
        <v>18432088.472727269</v>
      </c>
      <c r="AO50" s="160">
        <v>2.769137309687185</v>
      </c>
      <c r="AP50" s="164">
        <v>275257481</v>
      </c>
      <c r="AQ50" s="164">
        <v>0</v>
      </c>
      <c r="AR50" s="164">
        <v>-7436364</v>
      </c>
      <c r="AS50" s="164">
        <v>53164282</v>
      </c>
      <c r="AT50" s="164">
        <v>-3718182</v>
      </c>
      <c r="AU50" s="164">
        <v>-3718182</v>
      </c>
      <c r="AV50" s="164">
        <v>87297331</v>
      </c>
      <c r="AW50" s="164">
        <v>-3718182</v>
      </c>
      <c r="AX50" s="164">
        <v>-3718182</v>
      </c>
      <c r="AY50" s="164">
        <v>86968024</v>
      </c>
      <c r="AZ50" s="164">
        <v>-7228182</v>
      </c>
      <c r="BA50" s="164">
        <v>-7228182</v>
      </c>
      <c r="BB50" s="164">
        <v>84593300</v>
      </c>
      <c r="BC50" s="164">
        <v>45727918</v>
      </c>
      <c r="BD50" s="164">
        <v>79860967</v>
      </c>
      <c r="BE50" s="164">
        <v>79531660</v>
      </c>
      <c r="BF50" s="164">
        <v>70136936</v>
      </c>
      <c r="BG50" s="280">
        <v>261848542</v>
      </c>
      <c r="BH50" s="280">
        <v>-7228182</v>
      </c>
      <c r="BI50" s="280">
        <v>-7228182</v>
      </c>
      <c r="BJ50" s="280">
        <v>55342528</v>
      </c>
      <c r="BK50" s="280">
        <v>-7228182</v>
      </c>
      <c r="BL50" s="280">
        <v>-7228182</v>
      </c>
      <c r="BM50" s="280">
        <v>92888882</v>
      </c>
      <c r="BN50" s="280">
        <v>-7228182</v>
      </c>
      <c r="BO50" s="280">
        <v>-7228182</v>
      </c>
      <c r="BP50" s="280">
        <v>82258214</v>
      </c>
      <c r="BQ50" s="261">
        <v>-7228182</v>
      </c>
      <c r="BR50" s="280">
        <v>-7228182</v>
      </c>
      <c r="BS50" s="280">
        <v>89184374</v>
      </c>
      <c r="BT50" s="164">
        <v>40886164</v>
      </c>
      <c r="BU50" s="164">
        <v>78432518</v>
      </c>
      <c r="BV50" s="164">
        <v>67801850</v>
      </c>
      <c r="BW50" s="164">
        <v>74728010</v>
      </c>
      <c r="BX50" s="279">
        <v>-7228182</v>
      </c>
      <c r="BY50" s="280">
        <v>-7228182</v>
      </c>
      <c r="BZ50" s="280"/>
      <c r="CA50" s="280"/>
      <c r="CB50" s="280"/>
      <c r="CC50" s="280"/>
      <c r="CD50" s="280"/>
      <c r="CE50" s="280"/>
      <c r="CF50" s="280"/>
      <c r="CG50" s="280"/>
      <c r="CH50" s="280"/>
      <c r="CI50" s="280"/>
      <c r="CJ50" s="280"/>
      <c r="CK50" s="281">
        <v>-7228182</v>
      </c>
      <c r="CL50" s="281"/>
      <c r="CM50" s="281"/>
      <c r="CN50" s="281"/>
      <c r="CO50" s="156">
        <f t="shared" si="1"/>
        <v>-13408939</v>
      </c>
      <c r="CP50" s="291">
        <f t="shared" si="2"/>
        <v>-4.871416737262084E-2</v>
      </c>
    </row>
    <row r="51" spans="1:94" s="161" customFormat="1" ht="18" hidden="1" customHeight="1" outlineLevel="1">
      <c r="A51" s="150" t="str">
        <f t="shared" si="0"/>
        <v>ẩn</v>
      </c>
      <c r="B51" s="150"/>
      <c r="C51" s="157" t="s">
        <v>188</v>
      </c>
      <c r="D51" s="166">
        <v>0</v>
      </c>
      <c r="E51" s="166">
        <v>0</v>
      </c>
      <c r="F51" s="166">
        <v>0</v>
      </c>
      <c r="G51" s="166">
        <v>0</v>
      </c>
      <c r="H51" s="166">
        <v>0</v>
      </c>
      <c r="I51" s="166">
        <v>0</v>
      </c>
      <c r="J51" s="166">
        <v>0</v>
      </c>
      <c r="K51" s="166">
        <v>0</v>
      </c>
      <c r="L51" s="166">
        <v>0</v>
      </c>
      <c r="M51" s="166">
        <v>0</v>
      </c>
      <c r="N51" s="166">
        <v>0</v>
      </c>
      <c r="O51" s="166">
        <v>0</v>
      </c>
      <c r="P51" s="166">
        <v>0</v>
      </c>
      <c r="Q51" s="166">
        <v>0</v>
      </c>
      <c r="R51" s="166">
        <v>0</v>
      </c>
      <c r="S51" s="166">
        <v>0</v>
      </c>
      <c r="T51" s="166">
        <v>0</v>
      </c>
      <c r="U51" s="166">
        <v>0</v>
      </c>
      <c r="V51" s="166">
        <v>0</v>
      </c>
      <c r="W51" s="166">
        <v>0</v>
      </c>
      <c r="X51" s="166">
        <v>0</v>
      </c>
      <c r="Y51" s="166">
        <v>0</v>
      </c>
      <c r="Z51" s="166">
        <v>0</v>
      </c>
      <c r="AA51" s="166">
        <v>0</v>
      </c>
      <c r="AB51" s="166">
        <v>0</v>
      </c>
      <c r="AC51" s="166">
        <v>0</v>
      </c>
      <c r="AD51" s="166">
        <v>0</v>
      </c>
      <c r="AE51" s="166">
        <v>0</v>
      </c>
      <c r="AF51" s="166">
        <v>0</v>
      </c>
      <c r="AG51" s="166">
        <v>0</v>
      </c>
      <c r="AH51" s="166">
        <v>0</v>
      </c>
      <c r="AI51" s="166">
        <v>0</v>
      </c>
      <c r="AJ51" s="166"/>
      <c r="AK51" s="166">
        <v>0</v>
      </c>
      <c r="AL51" s="166">
        <v>0</v>
      </c>
      <c r="AM51" s="166">
        <v>0</v>
      </c>
      <c r="AN51" s="166">
        <v>0</v>
      </c>
      <c r="AO51" s="160"/>
      <c r="AP51" s="166">
        <v>2370800</v>
      </c>
      <c r="AQ51" s="166">
        <v>0</v>
      </c>
      <c r="AR51" s="166">
        <v>0</v>
      </c>
      <c r="AS51" s="166">
        <v>0</v>
      </c>
      <c r="AT51" s="166">
        <v>0</v>
      </c>
      <c r="AU51" s="166">
        <v>0</v>
      </c>
      <c r="AV51" s="166">
        <v>0</v>
      </c>
      <c r="AW51" s="166">
        <v>0</v>
      </c>
      <c r="AX51" s="166">
        <v>0</v>
      </c>
      <c r="AY51" s="166">
        <v>0</v>
      </c>
      <c r="AZ51" s="166">
        <v>0</v>
      </c>
      <c r="BA51" s="166">
        <v>0</v>
      </c>
      <c r="BB51" s="166">
        <v>2370800</v>
      </c>
      <c r="BC51" s="166">
        <v>0</v>
      </c>
      <c r="BD51" s="166">
        <v>0</v>
      </c>
      <c r="BE51" s="166">
        <v>0</v>
      </c>
      <c r="BF51" s="166">
        <v>2370800</v>
      </c>
      <c r="BG51" s="270">
        <v>0</v>
      </c>
      <c r="BH51" s="270">
        <v>0</v>
      </c>
      <c r="BI51" s="270">
        <v>0</v>
      </c>
      <c r="BJ51" s="270">
        <v>0</v>
      </c>
      <c r="BK51" s="270">
        <v>0</v>
      </c>
      <c r="BL51" s="270">
        <v>0</v>
      </c>
      <c r="BM51" s="270">
        <v>0</v>
      </c>
      <c r="BN51" s="270">
        <v>0</v>
      </c>
      <c r="BO51" s="270">
        <v>0</v>
      </c>
      <c r="BP51" s="270">
        <v>0</v>
      </c>
      <c r="BQ51" s="260">
        <v>0</v>
      </c>
      <c r="BR51" s="270">
        <v>0</v>
      </c>
      <c r="BS51" s="270">
        <v>0</v>
      </c>
      <c r="BT51" s="166">
        <v>0</v>
      </c>
      <c r="BU51" s="166">
        <v>0</v>
      </c>
      <c r="BV51" s="166">
        <v>0</v>
      </c>
      <c r="BW51" s="166">
        <v>0</v>
      </c>
      <c r="BX51" s="269">
        <v>0</v>
      </c>
      <c r="BY51" s="270">
        <v>0</v>
      </c>
      <c r="BZ51" s="270"/>
      <c r="CA51" s="270"/>
      <c r="CB51" s="270"/>
      <c r="CC51" s="270"/>
      <c r="CD51" s="270"/>
      <c r="CE51" s="270"/>
      <c r="CF51" s="270"/>
      <c r="CG51" s="270"/>
      <c r="CH51" s="270"/>
      <c r="CI51" s="270"/>
      <c r="CJ51" s="270"/>
      <c r="CK51" s="271">
        <v>0</v>
      </c>
      <c r="CL51" s="271"/>
      <c r="CM51" s="271"/>
      <c r="CN51" s="271"/>
      <c r="CO51" s="156">
        <f t="shared" si="1"/>
        <v>-2370800</v>
      </c>
      <c r="CP51" s="291">
        <f t="shared" si="2"/>
        <v>-1</v>
      </c>
    </row>
    <row r="52" spans="1:94" s="156" customFormat="1" ht="15.5" collapsed="1">
      <c r="A52" s="150" t="str">
        <f t="shared" si="0"/>
        <v>in</v>
      </c>
      <c r="B52" s="151"/>
      <c r="C52" s="152" t="s">
        <v>189</v>
      </c>
      <c r="D52" s="153">
        <v>51570147310</v>
      </c>
      <c r="E52" s="153">
        <v>11246849687</v>
      </c>
      <c r="F52" s="153">
        <v>655022626</v>
      </c>
      <c r="G52" s="153">
        <v>569001286</v>
      </c>
      <c r="H52" s="153">
        <v>9443122750</v>
      </c>
      <c r="I52" s="153">
        <v>579703025</v>
      </c>
      <c r="J52" s="153">
        <v>9888987518</v>
      </c>
      <c r="K52" s="153">
        <v>9307971703</v>
      </c>
      <c r="L52" s="153">
        <v>583611514</v>
      </c>
      <c r="M52" s="153">
        <v>582732913</v>
      </c>
      <c r="N52" s="153">
        <v>9375664751</v>
      </c>
      <c r="O52" s="153">
        <v>587563553</v>
      </c>
      <c r="P52" s="153">
        <v>599930515</v>
      </c>
      <c r="Q52" s="153">
        <v>9396835156</v>
      </c>
      <c r="R52" s="153">
        <v>10667146662</v>
      </c>
      <c r="S52" s="153">
        <v>19776662246</v>
      </c>
      <c r="T52" s="153">
        <v>10542009178</v>
      </c>
      <c r="U52" s="153">
        <v>10584329224</v>
      </c>
      <c r="V52" s="153">
        <v>40931090718.641342</v>
      </c>
      <c r="W52" s="153">
        <v>40931090718.641342</v>
      </c>
      <c r="X52" s="153">
        <v>623897520.90425789</v>
      </c>
      <c r="Y52" s="153">
        <v>643305847.42744279</v>
      </c>
      <c r="Z52" s="153">
        <v>6822614647.1111069</v>
      </c>
      <c r="AA52" s="153">
        <v>595519474.49417806</v>
      </c>
      <c r="AB52" s="153">
        <v>618341356.52069628</v>
      </c>
      <c r="AC52" s="153">
        <v>6813294340.4594898</v>
      </c>
      <c r="AD52" s="153">
        <v>581355055.15083325</v>
      </c>
      <c r="AE52" s="153">
        <v>581355055.15083325</v>
      </c>
      <c r="AF52" s="153">
        <v>6883398655.5604191</v>
      </c>
      <c r="AG52" s="153">
        <v>581355055.15083325</v>
      </c>
      <c r="AH52" s="153">
        <v>562601666.27499998</v>
      </c>
      <c r="AI52" s="153">
        <v>15624052044.436253</v>
      </c>
      <c r="AJ52" s="153"/>
      <c r="AK52" s="153">
        <v>8089818015.4428082</v>
      </c>
      <c r="AL52" s="153">
        <v>8027155171.4743643</v>
      </c>
      <c r="AM52" s="153">
        <v>8046108765.8620853</v>
      </c>
      <c r="AN52" s="153">
        <v>16768008765.862085</v>
      </c>
      <c r="AO52" s="160">
        <v>0.79369737830289988</v>
      </c>
      <c r="AP52" s="153">
        <v>39161007973</v>
      </c>
      <c r="AQ52" s="153">
        <v>625973700</v>
      </c>
      <c r="AR52" s="153">
        <v>645288535</v>
      </c>
      <c r="AS52" s="153">
        <v>6810307508</v>
      </c>
      <c r="AT52" s="153">
        <v>5470427080</v>
      </c>
      <c r="AU52" s="153">
        <v>649316118</v>
      </c>
      <c r="AV52" s="153">
        <v>6979832739</v>
      </c>
      <c r="AW52" s="153">
        <v>582617569</v>
      </c>
      <c r="AX52" s="153">
        <v>583377890</v>
      </c>
      <c r="AY52" s="153">
        <v>7350977585</v>
      </c>
      <c r="AZ52" s="153">
        <v>649777174</v>
      </c>
      <c r="BA52" s="153">
        <v>597995809</v>
      </c>
      <c r="BB52" s="153">
        <v>8215116266</v>
      </c>
      <c r="BC52" s="153">
        <v>8081569743</v>
      </c>
      <c r="BD52" s="153">
        <v>13099575937</v>
      </c>
      <c r="BE52" s="153">
        <v>8516973044</v>
      </c>
      <c r="BF52" s="153">
        <v>9462889249</v>
      </c>
      <c r="BG52" s="273">
        <v>377256482784</v>
      </c>
      <c r="BH52" s="273">
        <v>583255055</v>
      </c>
      <c r="BI52" s="273">
        <v>526994889</v>
      </c>
      <c r="BJ52" s="273">
        <v>8733335675</v>
      </c>
      <c r="BK52" s="273">
        <v>564501666</v>
      </c>
      <c r="BL52" s="273">
        <v>583255055</v>
      </c>
      <c r="BM52" s="273">
        <v>8277104614</v>
      </c>
      <c r="BN52" s="273">
        <v>583255055</v>
      </c>
      <c r="BO52" s="273">
        <v>564501666</v>
      </c>
      <c r="BP52" s="273">
        <v>7847517833</v>
      </c>
      <c r="BQ52" s="303">
        <v>340583255055</v>
      </c>
      <c r="BR52" s="273">
        <v>564501666</v>
      </c>
      <c r="BS52" s="273">
        <v>7845004555</v>
      </c>
      <c r="BT52" s="153">
        <v>9843585619</v>
      </c>
      <c r="BU52" s="153">
        <v>9424861335</v>
      </c>
      <c r="BV52" s="153">
        <v>8995274554</v>
      </c>
      <c r="BW52" s="153">
        <v>348992761276</v>
      </c>
      <c r="BX52" s="272">
        <v>582635965</v>
      </c>
      <c r="BY52" s="273">
        <v>582635965</v>
      </c>
      <c r="BZ52" s="273"/>
      <c r="CA52" s="273"/>
      <c r="CB52" s="273"/>
      <c r="CC52" s="273"/>
      <c r="CD52" s="273"/>
      <c r="CE52" s="273"/>
      <c r="CF52" s="273"/>
      <c r="CG52" s="273"/>
      <c r="CH52" s="273"/>
      <c r="CI52" s="273"/>
      <c r="CJ52" s="273"/>
      <c r="CK52" s="274">
        <v>582635965</v>
      </c>
      <c r="CL52" s="274"/>
      <c r="CM52" s="274"/>
      <c r="CN52" s="274"/>
      <c r="CO52" s="156">
        <f t="shared" si="1"/>
        <v>338095474811</v>
      </c>
      <c r="CP52" s="291">
        <f t="shared" si="2"/>
        <v>8.6334722294202368</v>
      </c>
    </row>
    <row r="53" spans="1:94" s="161" customFormat="1" ht="15.5" hidden="1" outlineLevel="1">
      <c r="A53" s="150" t="str">
        <f t="shared" si="0"/>
        <v>in</v>
      </c>
      <c r="B53" s="150"/>
      <c r="C53" s="157" t="s">
        <v>190</v>
      </c>
      <c r="D53" s="177">
        <v>20285589620</v>
      </c>
      <c r="E53" s="177">
        <v>5396074025</v>
      </c>
      <c r="F53" s="177">
        <v>73667571</v>
      </c>
      <c r="G53" s="177">
        <v>25153009</v>
      </c>
      <c r="H53" s="177">
        <v>5280152087</v>
      </c>
      <c r="I53" s="177">
        <v>17101358</v>
      </c>
      <c r="J53" s="177">
        <v>9097063</v>
      </c>
      <c r="K53" s="177">
        <v>5163754428</v>
      </c>
      <c r="L53" s="177">
        <v>2256459</v>
      </c>
      <c r="M53" s="177">
        <v>1377858</v>
      </c>
      <c r="N53" s="177">
        <v>5192089063</v>
      </c>
      <c r="O53" s="177">
        <v>6208498</v>
      </c>
      <c r="P53" s="177">
        <v>37328848</v>
      </c>
      <c r="Q53" s="177">
        <v>4477403378</v>
      </c>
      <c r="R53" s="177">
        <v>5378972667</v>
      </c>
      <c r="S53" s="177">
        <v>5189952849</v>
      </c>
      <c r="T53" s="177">
        <v>5195723380</v>
      </c>
      <c r="U53" s="177">
        <v>4520940724</v>
      </c>
      <c r="V53" s="177">
        <v>7386928767.1232882</v>
      </c>
      <c r="W53" s="177">
        <v>7386928767.1232882</v>
      </c>
      <c r="X53" s="177">
        <v>42542465.753424659</v>
      </c>
      <c r="Y53" s="177">
        <v>118210958.90410958</v>
      </c>
      <c r="Z53" s="177">
        <v>1855627397.2602739</v>
      </c>
      <c r="AA53" s="177">
        <v>32917808.219178084</v>
      </c>
      <c r="AB53" s="177">
        <v>36986301.369863011</v>
      </c>
      <c r="AC53" s="177">
        <v>1754031232.8767123</v>
      </c>
      <c r="AD53" s="177">
        <v>0</v>
      </c>
      <c r="AE53" s="177">
        <v>0</v>
      </c>
      <c r="AF53" s="177">
        <v>1773306301.369863</v>
      </c>
      <c r="AG53" s="177">
        <v>0</v>
      </c>
      <c r="AH53" s="177">
        <v>0</v>
      </c>
      <c r="AI53" s="177">
        <v>1773306301.3698633</v>
      </c>
      <c r="AJ53" s="177"/>
      <c r="AK53" s="177">
        <v>2016380821.9178081</v>
      </c>
      <c r="AL53" s="177">
        <v>1823935342.4657533</v>
      </c>
      <c r="AM53" s="177">
        <v>1773306301.369863</v>
      </c>
      <c r="AN53" s="177">
        <v>1773306301.3698633</v>
      </c>
      <c r="AO53" s="160">
        <v>0.36414661370455587</v>
      </c>
      <c r="AP53" s="177">
        <v>8598283316</v>
      </c>
      <c r="AQ53" s="177">
        <v>44618645</v>
      </c>
      <c r="AR53" s="177">
        <v>120193646</v>
      </c>
      <c r="AS53" s="177">
        <v>1843320258</v>
      </c>
      <c r="AT53" s="177">
        <v>20973983</v>
      </c>
      <c r="AU53" s="177">
        <v>67961063</v>
      </c>
      <c r="AV53" s="177">
        <v>1754280463</v>
      </c>
      <c r="AW53" s="177">
        <v>1262514</v>
      </c>
      <c r="AX53" s="177">
        <v>2022835</v>
      </c>
      <c r="AY53" s="177">
        <v>1812961342</v>
      </c>
      <c r="AZ53" s="177">
        <v>68422119</v>
      </c>
      <c r="BA53" s="177">
        <v>35394142</v>
      </c>
      <c r="BB53" s="177">
        <v>2826872306</v>
      </c>
      <c r="BC53" s="177">
        <v>2008132549</v>
      </c>
      <c r="BD53" s="177">
        <v>1843215509</v>
      </c>
      <c r="BE53" s="177">
        <v>1816246691</v>
      </c>
      <c r="BF53" s="177">
        <v>2930688567</v>
      </c>
      <c r="BG53" s="270">
        <v>5626815890</v>
      </c>
      <c r="BH53" s="270">
        <v>1900000</v>
      </c>
      <c r="BI53" s="270">
        <v>1900000</v>
      </c>
      <c r="BJ53" s="270">
        <v>1383573425</v>
      </c>
      <c r="BK53" s="270">
        <v>1900000</v>
      </c>
      <c r="BL53" s="270">
        <v>1900000</v>
      </c>
      <c r="BM53" s="270">
        <v>1399111507</v>
      </c>
      <c r="BN53" s="270">
        <v>1900000</v>
      </c>
      <c r="BO53" s="270">
        <v>1900000</v>
      </c>
      <c r="BP53" s="270">
        <v>1414465479</v>
      </c>
      <c r="BQ53" s="299">
        <v>1900000</v>
      </c>
      <c r="BR53" s="270">
        <v>1900000</v>
      </c>
      <c r="BS53" s="270">
        <v>1414465479</v>
      </c>
      <c r="BT53" s="177">
        <v>1387373425</v>
      </c>
      <c r="BU53" s="177">
        <v>1402911507</v>
      </c>
      <c r="BV53" s="177">
        <v>1418265479</v>
      </c>
      <c r="BW53" s="177">
        <v>1418265479</v>
      </c>
      <c r="BX53" s="269">
        <v>1280910</v>
      </c>
      <c r="BY53" s="270">
        <v>1280910</v>
      </c>
      <c r="BZ53" s="270"/>
      <c r="CA53" s="270"/>
      <c r="CB53" s="270"/>
      <c r="CC53" s="270"/>
      <c r="CD53" s="270"/>
      <c r="CE53" s="270"/>
      <c r="CF53" s="270"/>
      <c r="CG53" s="270"/>
      <c r="CH53" s="270"/>
      <c r="CI53" s="270"/>
      <c r="CJ53" s="270"/>
      <c r="CK53" s="271">
        <v>1280910</v>
      </c>
      <c r="CL53" s="271"/>
      <c r="CM53" s="271"/>
      <c r="CN53" s="271"/>
      <c r="CO53" s="156">
        <f t="shared" si="1"/>
        <v>-2971467426</v>
      </c>
      <c r="CP53" s="291">
        <f t="shared" si="2"/>
        <v>-0.34558845257757265</v>
      </c>
    </row>
    <row r="54" spans="1:94" s="161" customFormat="1" ht="15.5" hidden="1" outlineLevel="1">
      <c r="A54" s="150" t="str">
        <f t="shared" si="0"/>
        <v>in</v>
      </c>
      <c r="B54" s="150"/>
      <c r="C54" s="157" t="s">
        <v>191</v>
      </c>
      <c r="D54" s="177">
        <v>21985790421</v>
      </c>
      <c r="E54" s="177">
        <v>5850775662</v>
      </c>
      <c r="F54" s="177">
        <v>581355055</v>
      </c>
      <c r="G54" s="177">
        <v>543848277</v>
      </c>
      <c r="H54" s="177">
        <v>4162970663</v>
      </c>
      <c r="I54" s="177">
        <v>562601667</v>
      </c>
      <c r="J54" s="177">
        <v>581355055</v>
      </c>
      <c r="K54" s="177">
        <v>4144217275</v>
      </c>
      <c r="L54" s="177">
        <v>581355055</v>
      </c>
      <c r="M54" s="177">
        <v>581355055</v>
      </c>
      <c r="N54" s="177">
        <v>4183575688</v>
      </c>
      <c r="O54" s="177">
        <v>581355055</v>
      </c>
      <c r="P54" s="177">
        <v>562601667</v>
      </c>
      <c r="Q54" s="177">
        <v>4919199909</v>
      </c>
      <c r="R54" s="177">
        <v>5288173995</v>
      </c>
      <c r="S54" s="177">
        <v>5288173997</v>
      </c>
      <c r="T54" s="177">
        <v>5346285798</v>
      </c>
      <c r="U54" s="177">
        <v>6063156631</v>
      </c>
      <c r="V54" s="177">
        <v>24822261951.518059</v>
      </c>
      <c r="W54" s="177">
        <v>24822261951.518059</v>
      </c>
      <c r="X54" s="177">
        <v>581355055.15083325</v>
      </c>
      <c r="Y54" s="177">
        <v>525094888.52333325</v>
      </c>
      <c r="Z54" s="177">
        <v>4966987249.8508329</v>
      </c>
      <c r="AA54" s="177">
        <v>562601666.27499998</v>
      </c>
      <c r="AB54" s="177">
        <v>581355055.15083325</v>
      </c>
      <c r="AC54" s="177">
        <v>5059263107.582778</v>
      </c>
      <c r="AD54" s="177">
        <v>581355055.15083325</v>
      </c>
      <c r="AE54" s="177">
        <v>581355055.15083325</v>
      </c>
      <c r="AF54" s="177">
        <v>5110092354.1905556</v>
      </c>
      <c r="AG54" s="177">
        <v>581355055.15083325</v>
      </c>
      <c r="AH54" s="177">
        <v>562601666.27499998</v>
      </c>
      <c r="AI54" s="177">
        <v>5128845743.0663891</v>
      </c>
      <c r="AJ54" s="177"/>
      <c r="AK54" s="177">
        <v>6073437193.5249996</v>
      </c>
      <c r="AL54" s="177">
        <v>6203219829.0086117</v>
      </c>
      <c r="AM54" s="177">
        <v>6272802464.4922218</v>
      </c>
      <c r="AN54" s="177">
        <v>6272802464.4922218</v>
      </c>
      <c r="AO54" s="160">
        <v>1.1290138528660205</v>
      </c>
      <c r="AP54" s="177">
        <v>25675707232</v>
      </c>
      <c r="AQ54" s="177">
        <v>581355055</v>
      </c>
      <c r="AR54" s="177">
        <v>525094889</v>
      </c>
      <c r="AS54" s="177">
        <v>4966987250</v>
      </c>
      <c r="AT54" s="177">
        <v>562601667</v>
      </c>
      <c r="AU54" s="177">
        <v>581355055</v>
      </c>
      <c r="AV54" s="177">
        <v>5225552276</v>
      </c>
      <c r="AW54" s="177">
        <v>581355055</v>
      </c>
      <c r="AX54" s="177">
        <v>581355055</v>
      </c>
      <c r="AY54" s="177">
        <v>5538016243</v>
      </c>
      <c r="AZ54" s="177">
        <v>581355055</v>
      </c>
      <c r="BA54" s="177">
        <v>562601667</v>
      </c>
      <c r="BB54" s="177">
        <v>5388077965</v>
      </c>
      <c r="BC54" s="177">
        <v>6073437194</v>
      </c>
      <c r="BD54" s="177">
        <v>6369508998</v>
      </c>
      <c r="BE54" s="177">
        <v>6700726353</v>
      </c>
      <c r="BF54" s="177">
        <v>6532034687</v>
      </c>
      <c r="BG54" s="270">
        <v>31629666894</v>
      </c>
      <c r="BH54" s="270">
        <v>581355055</v>
      </c>
      <c r="BI54" s="270">
        <v>525094889</v>
      </c>
      <c r="BJ54" s="270">
        <v>7349762250</v>
      </c>
      <c r="BK54" s="270">
        <v>562601666</v>
      </c>
      <c r="BL54" s="270">
        <v>581355055</v>
      </c>
      <c r="BM54" s="270">
        <v>6877993107</v>
      </c>
      <c r="BN54" s="270">
        <v>581355055</v>
      </c>
      <c r="BO54" s="270">
        <v>562601666</v>
      </c>
      <c r="BP54" s="270">
        <v>6433052354</v>
      </c>
      <c r="BQ54" s="299">
        <v>581355055</v>
      </c>
      <c r="BR54" s="270">
        <v>562601666</v>
      </c>
      <c r="BS54" s="270">
        <v>6430539076</v>
      </c>
      <c r="BT54" s="177">
        <v>8456212194</v>
      </c>
      <c r="BU54" s="177">
        <v>8021949828</v>
      </c>
      <c r="BV54" s="177">
        <v>7577009075</v>
      </c>
      <c r="BW54" s="177">
        <v>7574495797</v>
      </c>
      <c r="BX54" s="269">
        <v>581355055</v>
      </c>
      <c r="BY54" s="270">
        <v>581355055</v>
      </c>
      <c r="BZ54" s="270"/>
      <c r="CA54" s="270"/>
      <c r="CB54" s="270"/>
      <c r="CC54" s="270"/>
      <c r="CD54" s="270"/>
      <c r="CE54" s="270"/>
      <c r="CF54" s="270"/>
      <c r="CG54" s="270"/>
      <c r="CH54" s="270"/>
      <c r="CI54" s="270"/>
      <c r="CJ54" s="270"/>
      <c r="CK54" s="271">
        <v>581355055</v>
      </c>
      <c r="CL54" s="271"/>
      <c r="CM54" s="271"/>
      <c r="CN54" s="271"/>
      <c r="CO54" s="156">
        <f t="shared" si="1"/>
        <v>5953959662</v>
      </c>
      <c r="CP54" s="291">
        <f t="shared" si="2"/>
        <v>0.23189077551793763</v>
      </c>
    </row>
    <row r="55" spans="1:94" s="198" customFormat="1" ht="15.5" hidden="1" outlineLevel="2">
      <c r="A55" s="150" t="str">
        <f t="shared" si="0"/>
        <v>in</v>
      </c>
      <c r="B55" s="193"/>
      <c r="C55" s="194" t="s">
        <v>192</v>
      </c>
      <c r="D55" s="195">
        <v>6863740331</v>
      </c>
      <c r="E55" s="195">
        <v>2269160054</v>
      </c>
      <c r="F55" s="195">
        <v>581355055</v>
      </c>
      <c r="G55" s="195">
        <v>543848277</v>
      </c>
      <c r="H55" s="195">
        <v>581355055</v>
      </c>
      <c r="I55" s="195">
        <v>562601667</v>
      </c>
      <c r="J55" s="195">
        <v>581355055</v>
      </c>
      <c r="K55" s="195">
        <v>562601667</v>
      </c>
      <c r="L55" s="196">
        <v>581355055</v>
      </c>
      <c r="M55" s="195">
        <v>581355056</v>
      </c>
      <c r="N55" s="195">
        <v>562601667</v>
      </c>
      <c r="O55" s="195">
        <v>581355055</v>
      </c>
      <c r="P55" s="195">
        <v>562601667</v>
      </c>
      <c r="Q55" s="195">
        <v>581355055</v>
      </c>
      <c r="R55" s="195">
        <v>1706558387</v>
      </c>
      <c r="S55" s="195">
        <v>1706558389</v>
      </c>
      <c r="T55" s="195">
        <v>1725311778</v>
      </c>
      <c r="U55" s="195">
        <v>1725311777</v>
      </c>
      <c r="V55" s="195">
        <v>6844986939.6791649</v>
      </c>
      <c r="W55" s="195">
        <v>6844986939.6791649</v>
      </c>
      <c r="X55" s="195">
        <v>581355055.15083325</v>
      </c>
      <c r="Y55" s="195">
        <v>525094888.52333325</v>
      </c>
      <c r="Z55" s="195">
        <v>581355055.15083325</v>
      </c>
      <c r="AA55" s="195">
        <v>562601666.27499998</v>
      </c>
      <c r="AB55" s="195">
        <v>581355055.15083325</v>
      </c>
      <c r="AC55" s="195">
        <v>562601666.27499998</v>
      </c>
      <c r="AD55" s="196">
        <v>581355055.15083325</v>
      </c>
      <c r="AE55" s="195">
        <v>581355055.15083325</v>
      </c>
      <c r="AF55" s="195">
        <v>562601666.27499998</v>
      </c>
      <c r="AG55" s="195">
        <v>581355055.15083325</v>
      </c>
      <c r="AH55" s="195">
        <v>562601666.27499998</v>
      </c>
      <c r="AI55" s="195">
        <v>581355055.15083325</v>
      </c>
      <c r="AJ55" s="195"/>
      <c r="AK55" s="195">
        <v>1687804998.8249998</v>
      </c>
      <c r="AL55" s="195">
        <v>1706558387.7008333</v>
      </c>
      <c r="AM55" s="195">
        <v>1725311776.5766664</v>
      </c>
      <c r="AN55" s="195">
        <v>1725311776.5766664</v>
      </c>
      <c r="AO55" s="160">
        <v>0.99726775920759481</v>
      </c>
      <c r="AP55" s="197">
        <v>6844986942</v>
      </c>
      <c r="AQ55" s="195">
        <v>581355055</v>
      </c>
      <c r="AR55" s="195">
        <v>525094889</v>
      </c>
      <c r="AS55" s="195">
        <v>581355055</v>
      </c>
      <c r="AT55" s="195">
        <v>562601667</v>
      </c>
      <c r="AU55" s="195">
        <v>581355055</v>
      </c>
      <c r="AV55" s="195">
        <v>562601667</v>
      </c>
      <c r="AW55" s="195">
        <v>581355055</v>
      </c>
      <c r="AX55" s="195">
        <v>581355055</v>
      </c>
      <c r="AY55" s="195">
        <v>562601667</v>
      </c>
      <c r="AZ55" s="195">
        <v>581355055</v>
      </c>
      <c r="BA55" s="195">
        <v>562601667</v>
      </c>
      <c r="BB55" s="195">
        <v>581355055</v>
      </c>
      <c r="BC55" s="195">
        <v>1687804999</v>
      </c>
      <c r="BD55" s="195">
        <v>1706558389</v>
      </c>
      <c r="BE55" s="195">
        <v>1725311777</v>
      </c>
      <c r="BF55" s="195">
        <v>1725311777</v>
      </c>
      <c r="BG55" s="283">
        <v>6826233549</v>
      </c>
      <c r="BH55" s="283">
        <v>581355055</v>
      </c>
      <c r="BI55" s="283">
        <v>525094889</v>
      </c>
      <c r="BJ55" s="283">
        <v>581355055</v>
      </c>
      <c r="BK55" s="283">
        <v>562601666</v>
      </c>
      <c r="BL55" s="283">
        <v>581355055</v>
      </c>
      <c r="BM55" s="283">
        <v>562601666</v>
      </c>
      <c r="BN55" s="283">
        <v>581355055</v>
      </c>
      <c r="BO55" s="283">
        <v>562601666</v>
      </c>
      <c r="BP55" s="283">
        <v>562601666</v>
      </c>
      <c r="BQ55" s="304">
        <v>581355055</v>
      </c>
      <c r="BR55" s="283">
        <v>562601666</v>
      </c>
      <c r="BS55" s="283">
        <v>581355055</v>
      </c>
      <c r="BT55" s="195">
        <v>1687804999</v>
      </c>
      <c r="BU55" s="195">
        <v>1706558387</v>
      </c>
      <c r="BV55" s="195">
        <v>1706558387</v>
      </c>
      <c r="BW55" s="195">
        <v>1725311776</v>
      </c>
      <c r="BX55" s="282">
        <v>581355055</v>
      </c>
      <c r="BY55" s="283">
        <v>581355055</v>
      </c>
      <c r="BZ55" s="283"/>
      <c r="CA55" s="283"/>
      <c r="CB55" s="283"/>
      <c r="CC55" s="283"/>
      <c r="CD55" s="283"/>
      <c r="CE55" s="283"/>
      <c r="CF55" s="283"/>
      <c r="CG55" s="283"/>
      <c r="CH55" s="283"/>
      <c r="CI55" s="283"/>
      <c r="CJ55" s="283"/>
      <c r="CK55" s="284">
        <v>581355055</v>
      </c>
      <c r="CL55" s="284"/>
      <c r="CM55" s="284"/>
      <c r="CN55" s="284"/>
      <c r="CO55" s="156">
        <f t="shared" si="1"/>
        <v>-18753393</v>
      </c>
      <c r="CP55" s="291">
        <f t="shared" si="2"/>
        <v>-2.7397266289774028E-3</v>
      </c>
    </row>
    <row r="56" spans="1:94" s="198" customFormat="1" ht="15.5" hidden="1" outlineLevel="2">
      <c r="A56" s="150" t="str">
        <f t="shared" si="0"/>
        <v>in</v>
      </c>
      <c r="B56" s="193"/>
      <c r="C56" s="194" t="s">
        <v>193</v>
      </c>
      <c r="D56" s="195">
        <v>717083333</v>
      </c>
      <c r="E56" s="195">
        <v>0</v>
      </c>
      <c r="F56" s="195"/>
      <c r="G56" s="195"/>
      <c r="H56" s="195"/>
      <c r="I56" s="195"/>
      <c r="J56" s="195"/>
      <c r="K56" s="195"/>
      <c r="L56" s="196"/>
      <c r="M56" s="195"/>
      <c r="N56" s="195"/>
      <c r="O56" s="195"/>
      <c r="P56" s="195"/>
      <c r="Q56" s="195">
        <v>717083333</v>
      </c>
      <c r="R56" s="195">
        <v>0</v>
      </c>
      <c r="S56" s="195">
        <v>0</v>
      </c>
      <c r="T56" s="195">
        <v>0</v>
      </c>
      <c r="U56" s="195">
        <v>717083333</v>
      </c>
      <c r="V56" s="195">
        <v>3497916666.6666665</v>
      </c>
      <c r="W56" s="195">
        <v>3497916666.6666665</v>
      </c>
      <c r="X56" s="195"/>
      <c r="Y56" s="195"/>
      <c r="Z56" s="195">
        <v>862500000</v>
      </c>
      <c r="AA56" s="195"/>
      <c r="AB56" s="195"/>
      <c r="AC56" s="195">
        <v>872083333.33333337</v>
      </c>
      <c r="AD56" s="196"/>
      <c r="AE56" s="195"/>
      <c r="AF56" s="195">
        <v>881666666.66666663</v>
      </c>
      <c r="AG56" s="195"/>
      <c r="AH56" s="195"/>
      <c r="AI56" s="195">
        <v>881666666.66666663</v>
      </c>
      <c r="AJ56" s="195"/>
      <c r="AK56" s="195">
        <v>862500000</v>
      </c>
      <c r="AL56" s="195">
        <v>872083333.33333337</v>
      </c>
      <c r="AM56" s="195">
        <v>881666666.66666663</v>
      </c>
      <c r="AN56" s="195">
        <v>881666666.66666663</v>
      </c>
      <c r="AO56" s="160">
        <v>4.8779779220815698</v>
      </c>
      <c r="AP56" s="197">
        <v>2620667500</v>
      </c>
      <c r="AQ56" s="195"/>
      <c r="AR56" s="195"/>
      <c r="AS56" s="195">
        <v>862500000</v>
      </c>
      <c r="AT56" s="195"/>
      <c r="AU56" s="195"/>
      <c r="AV56" s="195">
        <v>787380834</v>
      </c>
      <c r="AW56" s="195"/>
      <c r="AX56" s="195"/>
      <c r="AY56" s="195">
        <v>640532222</v>
      </c>
      <c r="AZ56" s="195"/>
      <c r="BA56" s="195"/>
      <c r="BB56" s="195">
        <v>330254444</v>
      </c>
      <c r="BC56" s="195">
        <v>862500000</v>
      </c>
      <c r="BD56" s="195">
        <v>787380834</v>
      </c>
      <c r="BE56" s="195">
        <v>640532222</v>
      </c>
      <c r="BF56" s="195">
        <v>330254444</v>
      </c>
      <c r="BG56" s="283">
        <v>1310248610</v>
      </c>
      <c r="BH56" s="283">
        <v>0</v>
      </c>
      <c r="BI56" s="283">
        <v>0</v>
      </c>
      <c r="BJ56" s="283">
        <v>323075000</v>
      </c>
      <c r="BK56" s="283">
        <v>0</v>
      </c>
      <c r="BL56" s="283">
        <v>0</v>
      </c>
      <c r="BM56" s="283">
        <v>326664722</v>
      </c>
      <c r="BN56" s="283">
        <v>0</v>
      </c>
      <c r="BO56" s="283">
        <v>0</v>
      </c>
      <c r="BP56" s="283">
        <v>330254444</v>
      </c>
      <c r="BQ56" s="305">
        <v>0</v>
      </c>
      <c r="BR56" s="283">
        <v>0</v>
      </c>
      <c r="BS56" s="283">
        <v>330254444</v>
      </c>
      <c r="BT56" s="195">
        <v>323075000</v>
      </c>
      <c r="BU56" s="195">
        <v>326664722</v>
      </c>
      <c r="BV56" s="195">
        <v>330254444</v>
      </c>
      <c r="BW56" s="195">
        <v>330254444</v>
      </c>
      <c r="BX56" s="282">
        <v>0</v>
      </c>
      <c r="BY56" s="283"/>
      <c r="BZ56" s="283"/>
      <c r="CA56" s="283"/>
      <c r="CB56" s="283"/>
      <c r="CC56" s="283"/>
      <c r="CD56" s="283"/>
      <c r="CE56" s="283"/>
      <c r="CF56" s="283"/>
      <c r="CG56" s="283"/>
      <c r="CH56" s="283"/>
      <c r="CI56" s="283"/>
      <c r="CJ56" s="283"/>
      <c r="CK56" s="284"/>
      <c r="CL56" s="284"/>
      <c r="CM56" s="284"/>
      <c r="CN56" s="284"/>
      <c r="CO56" s="156">
        <f t="shared" si="1"/>
        <v>-1310418890</v>
      </c>
      <c r="CP56" s="291">
        <f t="shared" si="2"/>
        <v>-0.50003248790623001</v>
      </c>
    </row>
    <row r="57" spans="1:94" s="198" customFormat="1" ht="15.5" hidden="1" outlineLevel="2">
      <c r="A57" s="150" t="str">
        <f t="shared" si="0"/>
        <v>in</v>
      </c>
      <c r="B57" s="193"/>
      <c r="C57" s="194" t="s">
        <v>194</v>
      </c>
      <c r="D57" s="195">
        <v>13521666666</v>
      </c>
      <c r="E57" s="195">
        <v>3361944444</v>
      </c>
      <c r="F57" s="195"/>
      <c r="G57" s="195"/>
      <c r="H57" s="195">
        <v>3361944444</v>
      </c>
      <c r="I57" s="195"/>
      <c r="J57" s="195"/>
      <c r="K57" s="195">
        <v>3361944444</v>
      </c>
      <c r="L57" s="196"/>
      <c r="M57" s="195"/>
      <c r="N57" s="195">
        <v>3398888889</v>
      </c>
      <c r="O57" s="195"/>
      <c r="P57" s="195"/>
      <c r="Q57" s="195">
        <v>3398888889</v>
      </c>
      <c r="R57" s="195">
        <v>3361944444</v>
      </c>
      <c r="S57" s="195">
        <v>3361944444</v>
      </c>
      <c r="T57" s="195">
        <v>3398888889</v>
      </c>
      <c r="U57" s="195">
        <v>3398888889</v>
      </c>
      <c r="V57" s="195">
        <v>13675822222.222223</v>
      </c>
      <c r="W57" s="195">
        <v>13675822222.222223</v>
      </c>
      <c r="X57" s="195"/>
      <c r="Y57" s="195"/>
      <c r="Z57" s="195">
        <v>3325000000</v>
      </c>
      <c r="AA57" s="195"/>
      <c r="AB57" s="195"/>
      <c r="AC57" s="195">
        <v>3424244444.4444447</v>
      </c>
      <c r="AD57" s="196"/>
      <c r="AE57" s="195"/>
      <c r="AF57" s="195">
        <v>3463288888.8888888</v>
      </c>
      <c r="AG57" s="195"/>
      <c r="AH57" s="195"/>
      <c r="AI57" s="195">
        <v>3463288888.8888888</v>
      </c>
      <c r="AJ57" s="195"/>
      <c r="AK57" s="195">
        <v>3325000000</v>
      </c>
      <c r="AL57" s="195">
        <v>3424244444.4444447</v>
      </c>
      <c r="AM57" s="195">
        <v>3463288888.8888888</v>
      </c>
      <c r="AN57" s="195">
        <v>3463288888.8888888</v>
      </c>
      <c r="AO57" s="160">
        <v>1.0114006327792302</v>
      </c>
      <c r="AP57" s="197">
        <v>15209197222</v>
      </c>
      <c r="AQ57" s="195"/>
      <c r="AR57" s="195"/>
      <c r="AS57" s="195">
        <v>3325000000</v>
      </c>
      <c r="AT57" s="195"/>
      <c r="AU57" s="195"/>
      <c r="AV57" s="195">
        <v>3668513889</v>
      </c>
      <c r="AW57" s="195"/>
      <c r="AX57" s="195"/>
      <c r="AY57" s="195">
        <v>4105694444</v>
      </c>
      <c r="AZ57" s="195"/>
      <c r="BA57" s="195"/>
      <c r="BB57" s="195">
        <v>4109988889</v>
      </c>
      <c r="BC57" s="195">
        <v>3325000000</v>
      </c>
      <c r="BD57" s="195">
        <v>3668513889</v>
      </c>
      <c r="BE57" s="195">
        <v>4105694444</v>
      </c>
      <c r="BF57" s="195">
        <v>4109988889</v>
      </c>
      <c r="BG57" s="283">
        <v>15256330555</v>
      </c>
      <c r="BH57" s="283">
        <v>0</v>
      </c>
      <c r="BI57" s="283">
        <v>0</v>
      </c>
      <c r="BJ57" s="283">
        <v>4189750000</v>
      </c>
      <c r="BK57" s="283">
        <v>0</v>
      </c>
      <c r="BL57" s="283">
        <v>0</v>
      </c>
      <c r="BM57" s="283">
        <v>4009469444</v>
      </c>
      <c r="BN57" s="283">
        <v>0</v>
      </c>
      <c r="BO57" s="283">
        <v>0</v>
      </c>
      <c r="BP57" s="283">
        <v>3539188889</v>
      </c>
      <c r="BQ57" s="305">
        <v>0</v>
      </c>
      <c r="BR57" s="283">
        <v>0</v>
      </c>
      <c r="BS57" s="283">
        <v>3517922222</v>
      </c>
      <c r="BT57" s="195">
        <v>4189750000</v>
      </c>
      <c r="BU57" s="195">
        <v>4009469444</v>
      </c>
      <c r="BV57" s="195">
        <v>3539188889</v>
      </c>
      <c r="BW57" s="195">
        <v>3517922222</v>
      </c>
      <c r="BX57" s="282">
        <v>0</v>
      </c>
      <c r="BY57" s="283"/>
      <c r="BZ57" s="283"/>
      <c r="CA57" s="283"/>
      <c r="CB57" s="283"/>
      <c r="CC57" s="283"/>
      <c r="CD57" s="283"/>
      <c r="CE57" s="283"/>
      <c r="CF57" s="283"/>
      <c r="CG57" s="283"/>
      <c r="CH57" s="283"/>
      <c r="CI57" s="283"/>
      <c r="CJ57" s="283"/>
      <c r="CK57" s="284"/>
      <c r="CL57" s="284"/>
      <c r="CM57" s="284"/>
      <c r="CN57" s="284"/>
      <c r="CO57" s="156">
        <f t="shared" si="1"/>
        <v>47133333</v>
      </c>
      <c r="CP57" s="291">
        <f t="shared" si="2"/>
        <v>3.0990020256836406E-3</v>
      </c>
    </row>
    <row r="58" spans="1:94" s="198" customFormat="1" ht="15.5" hidden="1" outlineLevel="2">
      <c r="A58" s="150" t="str">
        <f t="shared" si="0"/>
        <v>in</v>
      </c>
      <c r="B58" s="193"/>
      <c r="C58" s="194" t="s">
        <v>195</v>
      </c>
      <c r="D58" s="195">
        <v>883300092</v>
      </c>
      <c r="E58" s="195">
        <v>219671164</v>
      </c>
      <c r="F58" s="195"/>
      <c r="G58" s="195"/>
      <c r="H58" s="195">
        <v>219671164</v>
      </c>
      <c r="I58" s="195"/>
      <c r="J58" s="195"/>
      <c r="K58" s="195">
        <v>219671164</v>
      </c>
      <c r="L58" s="196"/>
      <c r="M58" s="195"/>
      <c r="N58" s="195">
        <v>222085132</v>
      </c>
      <c r="O58" s="195"/>
      <c r="P58" s="195"/>
      <c r="Q58" s="195">
        <v>221872632</v>
      </c>
      <c r="R58" s="195">
        <v>219671164</v>
      </c>
      <c r="S58" s="195">
        <v>219671164</v>
      </c>
      <c r="T58" s="195">
        <v>222085132</v>
      </c>
      <c r="U58" s="195">
        <v>221872632</v>
      </c>
      <c r="V58" s="195">
        <v>803536122.95000005</v>
      </c>
      <c r="W58" s="195">
        <v>803536122.95000005</v>
      </c>
      <c r="X58" s="195"/>
      <c r="Y58" s="195"/>
      <c r="Z58" s="195">
        <v>198132194.69999999</v>
      </c>
      <c r="AA58" s="195"/>
      <c r="AB58" s="195"/>
      <c r="AC58" s="195">
        <v>200333663.53</v>
      </c>
      <c r="AD58" s="196"/>
      <c r="AE58" s="195"/>
      <c r="AF58" s="195">
        <v>202535132.35999998</v>
      </c>
      <c r="AG58" s="195"/>
      <c r="AH58" s="195"/>
      <c r="AI58" s="195">
        <v>202535132.35999998</v>
      </c>
      <c r="AJ58" s="195"/>
      <c r="AK58" s="195">
        <v>198132194.69999999</v>
      </c>
      <c r="AL58" s="195">
        <v>200333663.53</v>
      </c>
      <c r="AM58" s="195">
        <v>202535132.35999998</v>
      </c>
      <c r="AN58" s="195">
        <v>202535132.35999998</v>
      </c>
      <c r="AO58" s="160">
        <v>0.90969776888690745</v>
      </c>
      <c r="AP58" s="197">
        <v>736661124</v>
      </c>
      <c r="AQ58" s="195"/>
      <c r="AR58" s="195"/>
      <c r="AS58" s="195">
        <v>198132195</v>
      </c>
      <c r="AT58" s="195"/>
      <c r="AU58" s="195"/>
      <c r="AV58" s="195">
        <v>200333664</v>
      </c>
      <c r="AW58" s="195"/>
      <c r="AX58" s="195"/>
      <c r="AY58" s="195">
        <v>201076799</v>
      </c>
      <c r="AZ58" s="195"/>
      <c r="BA58" s="195"/>
      <c r="BB58" s="195">
        <v>137118466</v>
      </c>
      <c r="BC58" s="195">
        <v>198132195</v>
      </c>
      <c r="BD58" s="195">
        <v>200333664</v>
      </c>
      <c r="BE58" s="195">
        <v>201076799</v>
      </c>
      <c r="BF58" s="195">
        <v>137118466</v>
      </c>
      <c r="BG58" s="283">
        <v>385306957</v>
      </c>
      <c r="BH58" s="283">
        <v>0</v>
      </c>
      <c r="BI58" s="283">
        <v>0</v>
      </c>
      <c r="BJ58" s="283">
        <v>95007195</v>
      </c>
      <c r="BK58" s="283">
        <v>0</v>
      </c>
      <c r="BL58" s="283">
        <v>0</v>
      </c>
      <c r="BM58" s="283">
        <v>96062830</v>
      </c>
      <c r="BN58" s="283">
        <v>0</v>
      </c>
      <c r="BO58" s="283">
        <v>0</v>
      </c>
      <c r="BP58" s="283">
        <v>97118466</v>
      </c>
      <c r="BQ58" s="305">
        <v>0</v>
      </c>
      <c r="BR58" s="283">
        <v>0</v>
      </c>
      <c r="BS58" s="283">
        <v>97118466</v>
      </c>
      <c r="BT58" s="195">
        <v>95007195</v>
      </c>
      <c r="BU58" s="195">
        <v>96062830</v>
      </c>
      <c r="BV58" s="195">
        <v>97118466</v>
      </c>
      <c r="BW58" s="195">
        <v>97118466</v>
      </c>
      <c r="BX58" s="282">
        <v>0</v>
      </c>
      <c r="BY58" s="283"/>
      <c r="BZ58" s="283"/>
      <c r="CA58" s="283"/>
      <c r="CB58" s="283"/>
      <c r="CC58" s="283"/>
      <c r="CD58" s="283"/>
      <c r="CE58" s="283"/>
      <c r="CF58" s="283"/>
      <c r="CG58" s="283"/>
      <c r="CH58" s="283"/>
      <c r="CI58" s="283"/>
      <c r="CJ58" s="283"/>
      <c r="CK58" s="284"/>
      <c r="CL58" s="284"/>
      <c r="CM58" s="284"/>
      <c r="CN58" s="284"/>
      <c r="CO58" s="156">
        <f t="shared" si="1"/>
        <v>-351354167</v>
      </c>
      <c r="CP58" s="291">
        <f t="shared" si="2"/>
        <v>-0.476954946518937</v>
      </c>
    </row>
    <row r="59" spans="1:94" s="198" customFormat="1" ht="15.5" hidden="1" outlineLevel="2">
      <c r="A59" s="150"/>
      <c r="B59" s="193"/>
      <c r="C59" s="194" t="s">
        <v>402</v>
      </c>
      <c r="D59" s="195"/>
      <c r="E59" s="195"/>
      <c r="F59" s="195"/>
      <c r="G59" s="195"/>
      <c r="H59" s="195"/>
      <c r="I59" s="195"/>
      <c r="J59" s="195"/>
      <c r="K59" s="195"/>
      <c r="L59" s="196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6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60"/>
      <c r="AP59" s="197">
        <v>62944444</v>
      </c>
      <c r="AQ59" s="195"/>
      <c r="AR59" s="195"/>
      <c r="AS59" s="195"/>
      <c r="AT59" s="195"/>
      <c r="AU59" s="195"/>
      <c r="AV59" s="195">
        <v>6722222</v>
      </c>
      <c r="AW59" s="195"/>
      <c r="AX59" s="195"/>
      <c r="AY59" s="195">
        <v>28111111</v>
      </c>
      <c r="AZ59" s="195"/>
      <c r="BA59" s="195"/>
      <c r="BB59" s="195">
        <v>28111111</v>
      </c>
      <c r="BC59" s="195">
        <v>0</v>
      </c>
      <c r="BD59" s="195">
        <v>6722222</v>
      </c>
      <c r="BE59" s="195">
        <v>28111111</v>
      </c>
      <c r="BF59" s="195">
        <v>28111111</v>
      </c>
      <c r="BG59" s="283">
        <v>399463890</v>
      </c>
      <c r="BH59" s="283">
        <v>0</v>
      </c>
      <c r="BI59" s="283">
        <v>0</v>
      </c>
      <c r="BJ59" s="283">
        <v>323075000</v>
      </c>
      <c r="BK59" s="283">
        <v>0</v>
      </c>
      <c r="BL59" s="283">
        <v>0</v>
      </c>
      <c r="BM59" s="283">
        <v>25277778</v>
      </c>
      <c r="BN59" s="283">
        <v>0</v>
      </c>
      <c r="BO59" s="283">
        <v>0</v>
      </c>
      <c r="BP59" s="283">
        <v>25555556</v>
      </c>
      <c r="BQ59" s="305">
        <v>0</v>
      </c>
      <c r="BR59" s="283">
        <v>0</v>
      </c>
      <c r="BS59" s="283">
        <v>25555556</v>
      </c>
      <c r="BT59" s="195">
        <v>323075000</v>
      </c>
      <c r="BU59" s="195">
        <v>25277778</v>
      </c>
      <c r="BV59" s="195">
        <v>25555556</v>
      </c>
      <c r="BW59" s="195">
        <v>25555556</v>
      </c>
      <c r="BX59" s="282">
        <v>0</v>
      </c>
      <c r="BY59" s="283"/>
      <c r="BZ59" s="283"/>
      <c r="CA59" s="283"/>
      <c r="CB59" s="283"/>
      <c r="CC59" s="283"/>
      <c r="CD59" s="283"/>
      <c r="CE59" s="283"/>
      <c r="CF59" s="283"/>
      <c r="CG59" s="283"/>
      <c r="CH59" s="283"/>
      <c r="CI59" s="283"/>
      <c r="CJ59" s="283"/>
      <c r="CK59" s="284"/>
      <c r="CL59" s="284"/>
      <c r="CM59" s="284"/>
      <c r="CN59" s="284"/>
      <c r="CO59" s="156">
        <f t="shared" si="1"/>
        <v>336519446</v>
      </c>
      <c r="CP59" s="291">
        <f t="shared" si="2"/>
        <v>5.3462930898237815</v>
      </c>
    </row>
    <row r="60" spans="1:94" s="198" customFormat="1" ht="15.5" hidden="1" outlineLevel="2">
      <c r="A60" s="150"/>
      <c r="B60" s="193"/>
      <c r="C60" s="194" t="s">
        <v>478</v>
      </c>
      <c r="D60" s="195"/>
      <c r="E60" s="195"/>
      <c r="F60" s="195"/>
      <c r="G60" s="195"/>
      <c r="H60" s="195"/>
      <c r="I60" s="195"/>
      <c r="J60" s="195"/>
      <c r="K60" s="195"/>
      <c r="L60" s="196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6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60"/>
      <c r="AP60" s="197">
        <v>201250000</v>
      </c>
      <c r="AQ60" s="195"/>
      <c r="AR60" s="195"/>
      <c r="AS60" s="195"/>
      <c r="AT60" s="195"/>
      <c r="AU60" s="195"/>
      <c r="AV60" s="195"/>
      <c r="AW60" s="195"/>
      <c r="AX60" s="195"/>
      <c r="AY60" s="195"/>
      <c r="AZ60" s="195"/>
      <c r="BA60" s="195"/>
      <c r="BB60" s="195">
        <v>201250000</v>
      </c>
      <c r="BC60" s="195">
        <v>0</v>
      </c>
      <c r="BD60" s="195">
        <v>0</v>
      </c>
      <c r="BE60" s="195">
        <v>0</v>
      </c>
      <c r="BF60" s="195">
        <v>201250000</v>
      </c>
      <c r="BG60" s="283">
        <v>7452083333</v>
      </c>
      <c r="BH60" s="283">
        <v>0</v>
      </c>
      <c r="BI60" s="283">
        <v>0</v>
      </c>
      <c r="BJ60" s="283">
        <v>1837500000</v>
      </c>
      <c r="BK60" s="283">
        <v>0</v>
      </c>
      <c r="BL60" s="283">
        <v>0</v>
      </c>
      <c r="BM60" s="283">
        <v>1857916667</v>
      </c>
      <c r="BN60" s="283">
        <v>0</v>
      </c>
      <c r="BO60" s="283">
        <v>0</v>
      </c>
      <c r="BP60" s="283">
        <v>1878333333</v>
      </c>
      <c r="BQ60" s="305">
        <v>0</v>
      </c>
      <c r="BR60" s="283">
        <v>0</v>
      </c>
      <c r="BS60" s="283">
        <v>1878333333</v>
      </c>
      <c r="BT60" s="195">
        <v>1837500000</v>
      </c>
      <c r="BU60" s="195">
        <v>1857916667</v>
      </c>
      <c r="BV60" s="195">
        <v>1878333333</v>
      </c>
      <c r="BW60" s="195">
        <v>1878333333</v>
      </c>
      <c r="BX60" s="282">
        <v>0</v>
      </c>
      <c r="BY60" s="283"/>
      <c r="BZ60" s="283"/>
      <c r="CA60" s="283"/>
      <c r="CB60" s="283"/>
      <c r="CC60" s="283"/>
      <c r="CD60" s="283"/>
      <c r="CE60" s="283"/>
      <c r="CF60" s="283"/>
      <c r="CG60" s="283"/>
      <c r="CH60" s="283"/>
      <c r="CI60" s="283"/>
      <c r="CJ60" s="283"/>
      <c r="CK60" s="284"/>
      <c r="CL60" s="284"/>
      <c r="CM60" s="284"/>
      <c r="CN60" s="284"/>
      <c r="CO60" s="156">
        <f t="shared" si="1"/>
        <v>7250833333</v>
      </c>
      <c r="CP60" s="291">
        <f t="shared" si="2"/>
        <v>36.028985505590065</v>
      </c>
    </row>
    <row r="61" spans="1:94" s="161" customFormat="1" ht="15.5" hidden="1" outlineLevel="1">
      <c r="A61" s="150" t="str">
        <f t="shared" si="0"/>
        <v>in</v>
      </c>
      <c r="B61" s="150"/>
      <c r="C61" s="157" t="s">
        <v>196</v>
      </c>
      <c r="D61" s="199">
        <v>9298535400</v>
      </c>
      <c r="E61" s="199">
        <v>0</v>
      </c>
      <c r="F61" s="199">
        <v>0</v>
      </c>
      <c r="G61" s="199">
        <v>0</v>
      </c>
      <c r="H61" s="199">
        <v>0</v>
      </c>
      <c r="I61" s="199">
        <v>0</v>
      </c>
      <c r="J61" s="199">
        <v>9298535400</v>
      </c>
      <c r="K61" s="199">
        <v>0</v>
      </c>
      <c r="L61" s="199">
        <v>0</v>
      </c>
      <c r="M61" s="199">
        <v>0</v>
      </c>
      <c r="N61" s="199">
        <v>0</v>
      </c>
      <c r="O61" s="199">
        <v>0</v>
      </c>
      <c r="P61" s="199">
        <v>0</v>
      </c>
      <c r="Q61" s="199">
        <v>0</v>
      </c>
      <c r="R61" s="199">
        <v>0</v>
      </c>
      <c r="S61" s="199">
        <v>9298535400</v>
      </c>
      <c r="T61" s="199">
        <v>0</v>
      </c>
      <c r="U61" s="199">
        <v>0</v>
      </c>
      <c r="V61" s="199">
        <v>8721900000</v>
      </c>
      <c r="W61" s="199">
        <v>8721900000</v>
      </c>
      <c r="X61" s="199">
        <v>0</v>
      </c>
      <c r="Y61" s="199">
        <v>0</v>
      </c>
      <c r="Z61" s="199">
        <v>0</v>
      </c>
      <c r="AA61" s="199">
        <v>0</v>
      </c>
      <c r="AB61" s="199">
        <v>0</v>
      </c>
      <c r="AC61" s="199">
        <v>0</v>
      </c>
      <c r="AD61" s="199">
        <v>0</v>
      </c>
      <c r="AE61" s="199">
        <v>0</v>
      </c>
      <c r="AF61" s="199">
        <v>0</v>
      </c>
      <c r="AG61" s="199">
        <v>0</v>
      </c>
      <c r="AH61" s="199">
        <v>0</v>
      </c>
      <c r="AI61" s="199">
        <v>8721900000</v>
      </c>
      <c r="AJ61" s="199"/>
      <c r="AK61" s="199">
        <v>0</v>
      </c>
      <c r="AL61" s="199">
        <v>0</v>
      </c>
      <c r="AM61" s="199">
        <v>0</v>
      </c>
      <c r="AN61" s="199">
        <v>8721900000</v>
      </c>
      <c r="AO61" s="160">
        <v>0.9379864274109232</v>
      </c>
      <c r="AP61" s="199">
        <v>0</v>
      </c>
      <c r="AQ61" s="199">
        <v>0</v>
      </c>
      <c r="AR61" s="199">
        <v>0</v>
      </c>
      <c r="AS61" s="199">
        <v>0</v>
      </c>
      <c r="AT61" s="199">
        <v>0</v>
      </c>
      <c r="AU61" s="199">
        <v>0</v>
      </c>
      <c r="AV61" s="199">
        <v>0</v>
      </c>
      <c r="AW61" s="199">
        <v>0</v>
      </c>
      <c r="AX61" s="199">
        <v>0</v>
      </c>
      <c r="AY61" s="199">
        <v>0</v>
      </c>
      <c r="AZ61" s="199">
        <v>0</v>
      </c>
      <c r="BA61" s="199">
        <v>0</v>
      </c>
      <c r="BB61" s="199">
        <v>0</v>
      </c>
      <c r="BC61" s="199">
        <v>0</v>
      </c>
      <c r="BD61" s="199">
        <v>0</v>
      </c>
      <c r="BE61" s="199">
        <v>0</v>
      </c>
      <c r="BF61" s="199">
        <v>0</v>
      </c>
      <c r="BG61" s="270">
        <v>0</v>
      </c>
      <c r="BH61" s="270">
        <v>0</v>
      </c>
      <c r="BI61" s="270">
        <v>0</v>
      </c>
      <c r="BJ61" s="270">
        <v>0</v>
      </c>
      <c r="BK61" s="270">
        <v>0</v>
      </c>
      <c r="BL61" s="270">
        <v>0</v>
      </c>
      <c r="BM61" s="270">
        <v>0</v>
      </c>
      <c r="BN61" s="270">
        <v>0</v>
      </c>
      <c r="BO61" s="270">
        <v>0</v>
      </c>
      <c r="BP61" s="270">
        <v>0</v>
      </c>
      <c r="BQ61" s="306">
        <v>0</v>
      </c>
      <c r="BR61" s="270">
        <v>0</v>
      </c>
      <c r="BS61" s="270">
        <v>0</v>
      </c>
      <c r="BT61" s="195">
        <v>0</v>
      </c>
      <c r="BU61" s="195">
        <v>0</v>
      </c>
      <c r="BV61" s="195">
        <v>0</v>
      </c>
      <c r="BW61" s="195">
        <v>0</v>
      </c>
      <c r="BX61" s="269">
        <v>0</v>
      </c>
      <c r="BY61" s="270">
        <v>0</v>
      </c>
      <c r="BZ61" s="270"/>
      <c r="CA61" s="270"/>
      <c r="CB61" s="270"/>
      <c r="CC61" s="270"/>
      <c r="CD61" s="270"/>
      <c r="CE61" s="270"/>
      <c r="CF61" s="270"/>
      <c r="CG61" s="270"/>
      <c r="CH61" s="270"/>
      <c r="CI61" s="270"/>
      <c r="CJ61" s="270"/>
      <c r="CK61" s="271">
        <v>0</v>
      </c>
      <c r="CL61" s="271"/>
      <c r="CM61" s="271"/>
      <c r="CN61" s="271"/>
      <c r="CO61" s="156">
        <f t="shared" si="1"/>
        <v>0</v>
      </c>
      <c r="CP61" s="291" t="str">
        <f t="shared" si="2"/>
        <v/>
      </c>
    </row>
    <row r="62" spans="1:94" s="198" customFormat="1" ht="31.5" hidden="1" customHeight="1" outlineLevel="2">
      <c r="A62" s="150" t="str">
        <f t="shared" si="0"/>
        <v>ẩn</v>
      </c>
      <c r="B62" s="193"/>
      <c r="C62" s="194" t="s">
        <v>197</v>
      </c>
      <c r="D62" s="195">
        <v>0</v>
      </c>
      <c r="E62" s="195">
        <v>0</v>
      </c>
      <c r="F62" s="195"/>
      <c r="G62" s="195"/>
      <c r="H62" s="195"/>
      <c r="I62" s="195"/>
      <c r="J62" s="195"/>
      <c r="K62" s="195"/>
      <c r="L62" s="196"/>
      <c r="M62" s="195"/>
      <c r="N62" s="195"/>
      <c r="O62" s="195"/>
      <c r="P62" s="195"/>
      <c r="Q62" s="195"/>
      <c r="R62" s="195">
        <v>0</v>
      </c>
      <c r="S62" s="195">
        <v>0</v>
      </c>
      <c r="T62" s="195">
        <v>0</v>
      </c>
      <c r="U62" s="195">
        <v>0</v>
      </c>
      <c r="V62" s="195">
        <v>0</v>
      </c>
      <c r="W62" s="195">
        <v>0</v>
      </c>
      <c r="X62" s="195"/>
      <c r="Y62" s="195"/>
      <c r="Z62" s="195"/>
      <c r="AA62" s="195"/>
      <c r="AB62" s="195"/>
      <c r="AC62" s="195"/>
      <c r="AD62" s="196"/>
      <c r="AE62" s="195"/>
      <c r="AF62" s="195"/>
      <c r="AG62" s="195"/>
      <c r="AH62" s="195"/>
      <c r="AI62" s="195"/>
      <c r="AJ62" s="195"/>
      <c r="AK62" s="195">
        <v>0</v>
      </c>
      <c r="AL62" s="195">
        <v>0</v>
      </c>
      <c r="AM62" s="195">
        <v>0</v>
      </c>
      <c r="AN62" s="195">
        <v>0</v>
      </c>
      <c r="AO62" s="160"/>
      <c r="AP62" s="197">
        <v>0</v>
      </c>
      <c r="AQ62" s="195"/>
      <c r="AR62" s="195"/>
      <c r="AS62" s="195"/>
      <c r="AT62" s="195"/>
      <c r="AU62" s="195"/>
      <c r="AV62" s="195"/>
      <c r="AW62" s="195"/>
      <c r="AX62" s="195"/>
      <c r="AY62" s="195"/>
      <c r="AZ62" s="195"/>
      <c r="BA62" s="195"/>
      <c r="BB62" s="195"/>
      <c r="BC62" s="195">
        <v>0</v>
      </c>
      <c r="BD62" s="195">
        <v>0</v>
      </c>
      <c r="BE62" s="195">
        <v>0</v>
      </c>
      <c r="BF62" s="195">
        <v>0</v>
      </c>
      <c r="BG62" s="283">
        <v>0</v>
      </c>
      <c r="BH62" s="283"/>
      <c r="BI62" s="283"/>
      <c r="BJ62" s="283"/>
      <c r="BK62" s="283"/>
      <c r="BL62" s="283"/>
      <c r="BM62" s="283"/>
      <c r="BN62" s="283"/>
      <c r="BO62" s="283"/>
      <c r="BP62" s="283"/>
      <c r="BQ62" s="304"/>
      <c r="BR62" s="283"/>
      <c r="BS62" s="283"/>
      <c r="BT62" s="195">
        <v>0</v>
      </c>
      <c r="BU62" s="195">
        <v>0</v>
      </c>
      <c r="BV62" s="195">
        <v>0</v>
      </c>
      <c r="BW62" s="195">
        <v>0</v>
      </c>
      <c r="BX62" s="282">
        <v>0</v>
      </c>
      <c r="BY62" s="283"/>
      <c r="BZ62" s="283"/>
      <c r="CA62" s="283"/>
      <c r="CB62" s="283"/>
      <c r="CC62" s="283"/>
      <c r="CD62" s="283"/>
      <c r="CE62" s="283"/>
      <c r="CF62" s="283"/>
      <c r="CG62" s="283"/>
      <c r="CH62" s="283"/>
      <c r="CI62" s="283"/>
      <c r="CJ62" s="283"/>
      <c r="CK62" s="284"/>
      <c r="CL62" s="284"/>
      <c r="CM62" s="284"/>
      <c r="CN62" s="284"/>
      <c r="CO62" s="156">
        <f t="shared" si="1"/>
        <v>0</v>
      </c>
      <c r="CP62" s="291" t="str">
        <f t="shared" si="2"/>
        <v/>
      </c>
    </row>
    <row r="63" spans="1:94" s="198" customFormat="1" ht="15.5" hidden="1" outlineLevel="2">
      <c r="A63" s="150" t="str">
        <f t="shared" si="0"/>
        <v>ẩn</v>
      </c>
      <c r="B63" s="193"/>
      <c r="C63" s="194" t="s">
        <v>198</v>
      </c>
      <c r="D63" s="195">
        <v>0</v>
      </c>
      <c r="E63" s="195">
        <v>0</v>
      </c>
      <c r="F63" s="195"/>
      <c r="G63" s="195"/>
      <c r="H63" s="195"/>
      <c r="I63" s="195"/>
      <c r="J63" s="195"/>
      <c r="K63" s="195"/>
      <c r="L63" s="196"/>
      <c r="M63" s="195"/>
      <c r="N63" s="195"/>
      <c r="O63" s="195"/>
      <c r="P63" s="195"/>
      <c r="Q63" s="195"/>
      <c r="R63" s="195">
        <v>0</v>
      </c>
      <c r="S63" s="195">
        <v>0</v>
      </c>
      <c r="T63" s="195">
        <v>0</v>
      </c>
      <c r="U63" s="195">
        <v>0</v>
      </c>
      <c r="V63" s="195">
        <v>0</v>
      </c>
      <c r="W63" s="195">
        <v>0</v>
      </c>
      <c r="X63" s="195"/>
      <c r="Y63" s="195"/>
      <c r="Z63" s="195"/>
      <c r="AA63" s="195"/>
      <c r="AB63" s="195"/>
      <c r="AC63" s="195"/>
      <c r="AD63" s="196"/>
      <c r="AE63" s="195"/>
      <c r="AF63" s="195"/>
      <c r="AG63" s="195"/>
      <c r="AH63" s="195"/>
      <c r="AI63" s="195"/>
      <c r="AJ63" s="195"/>
      <c r="AK63" s="195">
        <v>0</v>
      </c>
      <c r="AL63" s="195">
        <v>0</v>
      </c>
      <c r="AM63" s="195">
        <v>0</v>
      </c>
      <c r="AN63" s="195">
        <v>0</v>
      </c>
      <c r="AO63" s="160"/>
      <c r="AP63" s="197">
        <v>0</v>
      </c>
      <c r="AQ63" s="195"/>
      <c r="AR63" s="195"/>
      <c r="AS63" s="195"/>
      <c r="AT63" s="195"/>
      <c r="AU63" s="195"/>
      <c r="AV63" s="195"/>
      <c r="AW63" s="195"/>
      <c r="AX63" s="195"/>
      <c r="AY63" s="195"/>
      <c r="AZ63" s="195"/>
      <c r="BA63" s="195"/>
      <c r="BB63" s="195"/>
      <c r="BC63" s="195">
        <v>0</v>
      </c>
      <c r="BD63" s="195">
        <v>0</v>
      </c>
      <c r="BE63" s="195">
        <v>0</v>
      </c>
      <c r="BF63" s="195">
        <v>0</v>
      </c>
      <c r="BG63" s="283">
        <v>0</v>
      </c>
      <c r="BH63" s="283"/>
      <c r="BI63" s="283"/>
      <c r="BJ63" s="283"/>
      <c r="BK63" s="283"/>
      <c r="BL63" s="283"/>
      <c r="BM63" s="283"/>
      <c r="BN63" s="283"/>
      <c r="BO63" s="283"/>
      <c r="BP63" s="283"/>
      <c r="BQ63" s="304"/>
      <c r="BR63" s="283"/>
      <c r="BS63" s="283"/>
      <c r="BT63" s="195">
        <v>0</v>
      </c>
      <c r="BU63" s="195">
        <v>0</v>
      </c>
      <c r="BV63" s="195">
        <v>0</v>
      </c>
      <c r="BW63" s="195">
        <v>0</v>
      </c>
      <c r="BX63" s="282">
        <v>0</v>
      </c>
      <c r="BY63" s="283"/>
      <c r="BZ63" s="283"/>
      <c r="CA63" s="283"/>
      <c r="CB63" s="283"/>
      <c r="CC63" s="283"/>
      <c r="CD63" s="283"/>
      <c r="CE63" s="283"/>
      <c r="CF63" s="283"/>
      <c r="CG63" s="283"/>
      <c r="CH63" s="283"/>
      <c r="CI63" s="283"/>
      <c r="CJ63" s="283"/>
      <c r="CK63" s="284"/>
      <c r="CL63" s="284"/>
      <c r="CM63" s="284"/>
      <c r="CN63" s="284"/>
      <c r="CO63" s="156">
        <f t="shared" si="1"/>
        <v>0</v>
      </c>
      <c r="CP63" s="291" t="str">
        <f t="shared" si="2"/>
        <v/>
      </c>
    </row>
    <row r="64" spans="1:94" s="198" customFormat="1" ht="15.5" hidden="1" outlineLevel="2">
      <c r="A64" s="150" t="str">
        <f t="shared" si="0"/>
        <v>in</v>
      </c>
      <c r="B64" s="193"/>
      <c r="C64" s="194" t="s">
        <v>199</v>
      </c>
      <c r="D64" s="195">
        <v>9298535400</v>
      </c>
      <c r="E64" s="195">
        <v>0</v>
      </c>
      <c r="F64" s="195"/>
      <c r="G64" s="195"/>
      <c r="H64" s="195"/>
      <c r="I64" s="195"/>
      <c r="J64" s="195">
        <v>9298535400</v>
      </c>
      <c r="K64" s="195"/>
      <c r="L64" s="196"/>
      <c r="M64" s="195"/>
      <c r="N64" s="195"/>
      <c r="O64" s="195"/>
      <c r="P64" s="195"/>
      <c r="Q64" s="195"/>
      <c r="R64" s="195">
        <v>0</v>
      </c>
      <c r="S64" s="195">
        <v>9298535400</v>
      </c>
      <c r="T64" s="195">
        <v>0</v>
      </c>
      <c r="U64" s="195">
        <v>0</v>
      </c>
      <c r="V64" s="195">
        <v>8721900000</v>
      </c>
      <c r="W64" s="195">
        <v>8721900000</v>
      </c>
      <c r="X64" s="195"/>
      <c r="Y64" s="195"/>
      <c r="Z64" s="195"/>
      <c r="AA64" s="195"/>
      <c r="AB64" s="195"/>
      <c r="AC64" s="195"/>
      <c r="AD64" s="196"/>
      <c r="AE64" s="195"/>
      <c r="AF64" s="195"/>
      <c r="AG64" s="195"/>
      <c r="AH64" s="195"/>
      <c r="AI64" s="195">
        <v>8721900000</v>
      </c>
      <c r="AJ64" s="195"/>
      <c r="AK64" s="195">
        <v>0</v>
      </c>
      <c r="AL64" s="195">
        <v>0</v>
      </c>
      <c r="AM64" s="195">
        <v>0</v>
      </c>
      <c r="AN64" s="195">
        <v>8721900000</v>
      </c>
      <c r="AO64" s="160">
        <v>0.9379864274109232</v>
      </c>
      <c r="AP64" s="197">
        <v>0</v>
      </c>
      <c r="AQ64" s="195"/>
      <c r="AR64" s="195"/>
      <c r="AS64" s="195"/>
      <c r="AT64" s="195"/>
      <c r="AU64" s="195"/>
      <c r="AV64" s="195"/>
      <c r="AW64" s="195"/>
      <c r="AX64" s="195"/>
      <c r="AY64" s="195"/>
      <c r="AZ64" s="195"/>
      <c r="BA64" s="195"/>
      <c r="BB64" s="195"/>
      <c r="BC64" s="195">
        <v>0</v>
      </c>
      <c r="BD64" s="195">
        <v>0</v>
      </c>
      <c r="BE64" s="195">
        <v>0</v>
      </c>
      <c r="BF64" s="195">
        <v>0</v>
      </c>
      <c r="BG64" s="283">
        <v>0</v>
      </c>
      <c r="BH64" s="283"/>
      <c r="BI64" s="283"/>
      <c r="BJ64" s="283"/>
      <c r="BK64" s="283"/>
      <c r="BL64" s="283"/>
      <c r="BM64" s="283"/>
      <c r="BN64" s="283"/>
      <c r="BO64" s="283"/>
      <c r="BP64" s="283"/>
      <c r="BQ64" s="304"/>
      <c r="BR64" s="283"/>
      <c r="BS64" s="283"/>
      <c r="BT64" s="195">
        <v>0</v>
      </c>
      <c r="BU64" s="195">
        <v>0</v>
      </c>
      <c r="BV64" s="195">
        <v>0</v>
      </c>
      <c r="BW64" s="195">
        <v>0</v>
      </c>
      <c r="BX64" s="282">
        <v>0</v>
      </c>
      <c r="BY64" s="283"/>
      <c r="BZ64" s="283"/>
      <c r="CA64" s="283"/>
      <c r="CB64" s="283"/>
      <c r="CC64" s="283"/>
      <c r="CD64" s="283"/>
      <c r="CE64" s="283"/>
      <c r="CF64" s="283"/>
      <c r="CG64" s="283"/>
      <c r="CH64" s="283"/>
      <c r="CI64" s="283"/>
      <c r="CJ64" s="283"/>
      <c r="CK64" s="284"/>
      <c r="CL64" s="284"/>
      <c r="CM64" s="284"/>
      <c r="CN64" s="284"/>
      <c r="CO64" s="156">
        <f t="shared" si="1"/>
        <v>0</v>
      </c>
      <c r="CP64" s="291" t="str">
        <f t="shared" si="2"/>
        <v/>
      </c>
    </row>
    <row r="65" spans="1:94" s="198" customFormat="1" ht="31" hidden="1" outlineLevel="1">
      <c r="A65" s="150" t="str">
        <f t="shared" si="0"/>
        <v>ẩn</v>
      </c>
      <c r="B65" s="193"/>
      <c r="C65" s="157" t="s">
        <v>200</v>
      </c>
      <c r="D65" s="195">
        <v>231869</v>
      </c>
      <c r="E65" s="195">
        <v>0</v>
      </c>
      <c r="F65" s="195">
        <v>0</v>
      </c>
      <c r="G65" s="195">
        <v>0</v>
      </c>
      <c r="H65" s="195">
        <v>0</v>
      </c>
      <c r="I65" s="195">
        <v>0</v>
      </c>
      <c r="J65" s="195">
        <v>0</v>
      </c>
      <c r="K65" s="195">
        <v>0</v>
      </c>
      <c r="L65" s="195">
        <v>0</v>
      </c>
      <c r="M65" s="195">
        <v>0</v>
      </c>
      <c r="N65" s="195">
        <v>0</v>
      </c>
      <c r="O65" s="195">
        <v>0</v>
      </c>
      <c r="P65" s="195">
        <v>0</v>
      </c>
      <c r="Q65" s="195">
        <v>231869</v>
      </c>
      <c r="R65" s="195">
        <v>0</v>
      </c>
      <c r="S65" s="195">
        <v>0</v>
      </c>
      <c r="T65" s="195">
        <v>0</v>
      </c>
      <c r="U65" s="195">
        <v>231869</v>
      </c>
      <c r="V65" s="195">
        <v>0</v>
      </c>
      <c r="W65" s="195">
        <v>0</v>
      </c>
      <c r="X65" s="195">
        <v>0</v>
      </c>
      <c r="Y65" s="195">
        <v>0</v>
      </c>
      <c r="Z65" s="195">
        <v>0</v>
      </c>
      <c r="AA65" s="195">
        <v>0</v>
      </c>
      <c r="AB65" s="195">
        <v>0</v>
      </c>
      <c r="AC65" s="195">
        <v>0</v>
      </c>
      <c r="AD65" s="195">
        <v>0</v>
      </c>
      <c r="AE65" s="195">
        <v>0</v>
      </c>
      <c r="AF65" s="195">
        <v>0</v>
      </c>
      <c r="AG65" s="195">
        <v>0</v>
      </c>
      <c r="AH65" s="195">
        <v>0</v>
      </c>
      <c r="AI65" s="195">
        <v>0</v>
      </c>
      <c r="AJ65" s="195"/>
      <c r="AK65" s="195">
        <v>0</v>
      </c>
      <c r="AL65" s="195">
        <v>0</v>
      </c>
      <c r="AM65" s="195">
        <v>0</v>
      </c>
      <c r="AN65" s="195">
        <v>0</v>
      </c>
      <c r="AO65" s="160">
        <v>0</v>
      </c>
      <c r="AP65" s="195">
        <v>4887017425</v>
      </c>
      <c r="AQ65" s="195">
        <v>0</v>
      </c>
      <c r="AR65" s="195">
        <v>0</v>
      </c>
      <c r="AS65" s="195">
        <v>0</v>
      </c>
      <c r="AT65" s="195">
        <v>4886851430</v>
      </c>
      <c r="AU65" s="195">
        <v>0</v>
      </c>
      <c r="AV65" s="195">
        <v>0</v>
      </c>
      <c r="AW65" s="195">
        <v>0</v>
      </c>
      <c r="AX65" s="195">
        <v>0</v>
      </c>
      <c r="AY65" s="195">
        <v>0</v>
      </c>
      <c r="AZ65" s="195">
        <v>0</v>
      </c>
      <c r="BA65" s="195">
        <v>0</v>
      </c>
      <c r="BB65" s="195">
        <v>165995</v>
      </c>
      <c r="BC65" s="195">
        <v>0</v>
      </c>
      <c r="BD65" s="195">
        <v>4886851430</v>
      </c>
      <c r="BE65" s="195">
        <v>0</v>
      </c>
      <c r="BF65" s="195">
        <v>165995</v>
      </c>
      <c r="BG65" s="283">
        <v>340000000000</v>
      </c>
      <c r="BH65" s="283">
        <v>0</v>
      </c>
      <c r="BI65" s="283">
        <v>0</v>
      </c>
      <c r="BJ65" s="283">
        <v>0</v>
      </c>
      <c r="BK65" s="283">
        <v>0</v>
      </c>
      <c r="BL65" s="283">
        <v>0</v>
      </c>
      <c r="BM65" s="283">
        <v>0</v>
      </c>
      <c r="BN65" s="283">
        <v>0</v>
      </c>
      <c r="BO65" s="283">
        <v>0</v>
      </c>
      <c r="BP65" s="283">
        <v>0</v>
      </c>
      <c r="BQ65" s="304">
        <v>340000000000</v>
      </c>
      <c r="BR65" s="283">
        <v>0</v>
      </c>
      <c r="BS65" s="283">
        <v>0</v>
      </c>
      <c r="BT65" s="195">
        <v>0</v>
      </c>
      <c r="BU65" s="195">
        <v>0</v>
      </c>
      <c r="BV65" s="195">
        <v>0</v>
      </c>
      <c r="BW65" s="195">
        <v>340000000000</v>
      </c>
      <c r="BX65" s="282">
        <v>0</v>
      </c>
      <c r="BY65" s="283">
        <v>0</v>
      </c>
      <c r="BZ65" s="283"/>
      <c r="CA65" s="283"/>
      <c r="CB65" s="283"/>
      <c r="CC65" s="283"/>
      <c r="CD65" s="283"/>
      <c r="CE65" s="283"/>
      <c r="CF65" s="283"/>
      <c r="CG65" s="283"/>
      <c r="CH65" s="283"/>
      <c r="CI65" s="283"/>
      <c r="CJ65" s="283"/>
      <c r="CK65" s="284">
        <v>0</v>
      </c>
      <c r="CL65" s="284"/>
      <c r="CM65" s="284"/>
      <c r="CN65" s="284"/>
      <c r="CO65" s="156">
        <f t="shared" si="1"/>
        <v>335112982575</v>
      </c>
      <c r="CP65" s="291">
        <f t="shared" si="2"/>
        <v>68.572086700713982</v>
      </c>
    </row>
    <row r="66" spans="1:94" s="156" customFormat="1" ht="15.5" collapsed="1">
      <c r="A66" s="150" t="str">
        <f t="shared" si="0"/>
        <v>in</v>
      </c>
      <c r="B66" s="151"/>
      <c r="C66" s="152" t="s">
        <v>201</v>
      </c>
      <c r="D66" s="154">
        <v>-6419042979</v>
      </c>
      <c r="E66" s="154">
        <v>21479475899</v>
      </c>
      <c r="F66" s="154">
        <v>0</v>
      </c>
      <c r="G66" s="154">
        <v>0</v>
      </c>
      <c r="H66" s="154">
        <v>21479475899</v>
      </c>
      <c r="I66" s="154">
        <v>0</v>
      </c>
      <c r="J66" s="154">
        <v>-149800000</v>
      </c>
      <c r="K66" s="154">
        <v>29978881946</v>
      </c>
      <c r="L66" s="154">
        <v>0</v>
      </c>
      <c r="M66" s="154">
        <v>0</v>
      </c>
      <c r="N66" s="154">
        <v>-77686854144</v>
      </c>
      <c r="O66" s="154">
        <v>77289654</v>
      </c>
      <c r="P66" s="154">
        <v>1533785147</v>
      </c>
      <c r="Q66" s="154">
        <v>18348178519</v>
      </c>
      <c r="R66" s="154">
        <v>21479475899</v>
      </c>
      <c r="S66" s="154">
        <v>29829081946</v>
      </c>
      <c r="T66" s="154">
        <v>-77686854144</v>
      </c>
      <c r="U66" s="154">
        <v>19959253320</v>
      </c>
      <c r="V66" s="154">
        <v>34210321738</v>
      </c>
      <c r="W66" s="154">
        <v>34210321738</v>
      </c>
      <c r="X66" s="154">
        <v>0</v>
      </c>
      <c r="Y66" s="154">
        <v>0</v>
      </c>
      <c r="Z66" s="154">
        <v>19419876781</v>
      </c>
      <c r="AA66" s="154">
        <v>0</v>
      </c>
      <c r="AB66" s="154">
        <v>0</v>
      </c>
      <c r="AC66" s="154">
        <v>31403833694</v>
      </c>
      <c r="AD66" s="154">
        <v>0</v>
      </c>
      <c r="AE66" s="154">
        <v>0</v>
      </c>
      <c r="AF66" s="154">
        <v>-27619694166</v>
      </c>
      <c r="AG66" s="154">
        <v>0</v>
      </c>
      <c r="AH66" s="154">
        <v>0</v>
      </c>
      <c r="AI66" s="154">
        <v>11006305429</v>
      </c>
      <c r="AJ66" s="154"/>
      <c r="AK66" s="154">
        <v>19419876781</v>
      </c>
      <c r="AL66" s="154">
        <v>31403833694</v>
      </c>
      <c r="AM66" s="154">
        <v>-27619694166</v>
      </c>
      <c r="AN66" s="154">
        <v>11006305429</v>
      </c>
      <c r="AO66" s="160">
        <v>-5.3295050134295101</v>
      </c>
      <c r="AP66" s="154">
        <v>12625236551</v>
      </c>
      <c r="AQ66" s="154">
        <v>0</v>
      </c>
      <c r="AR66" s="154">
        <v>0</v>
      </c>
      <c r="AS66" s="154">
        <v>18566685331</v>
      </c>
      <c r="AT66" s="154">
        <v>0</v>
      </c>
      <c r="AU66" s="154">
        <v>0</v>
      </c>
      <c r="AV66" s="154">
        <v>4544357873</v>
      </c>
      <c r="AW66" s="154">
        <v>0</v>
      </c>
      <c r="AX66" s="154">
        <v>0</v>
      </c>
      <c r="AY66" s="154">
        <v>-852558849</v>
      </c>
      <c r="AZ66" s="154">
        <v>0</v>
      </c>
      <c r="BA66" s="154">
        <v>0</v>
      </c>
      <c r="BB66" s="154">
        <v>-9633247804</v>
      </c>
      <c r="BC66" s="154">
        <v>18566685331</v>
      </c>
      <c r="BD66" s="154">
        <v>4544357873</v>
      </c>
      <c r="BE66" s="154">
        <v>-852558849</v>
      </c>
      <c r="BF66" s="154">
        <v>-9633247804</v>
      </c>
      <c r="BG66" s="273">
        <v>15858874923</v>
      </c>
      <c r="BH66" s="273">
        <v>0</v>
      </c>
      <c r="BI66" s="273">
        <v>0</v>
      </c>
      <c r="BJ66" s="273">
        <v>6231560689</v>
      </c>
      <c r="BK66" s="273">
        <v>0</v>
      </c>
      <c r="BL66" s="273">
        <v>0</v>
      </c>
      <c r="BM66" s="273">
        <v>4191772984</v>
      </c>
      <c r="BN66" s="273">
        <v>0</v>
      </c>
      <c r="BO66" s="273">
        <v>0</v>
      </c>
      <c r="BP66" s="273">
        <v>359338153</v>
      </c>
      <c r="BQ66" s="297">
        <v>0</v>
      </c>
      <c r="BR66" s="273">
        <v>0</v>
      </c>
      <c r="BS66" s="273">
        <v>5076203097</v>
      </c>
      <c r="BT66" s="154">
        <v>6231560689</v>
      </c>
      <c r="BU66" s="154">
        <v>4191772984</v>
      </c>
      <c r="BV66" s="154">
        <v>359338153</v>
      </c>
      <c r="BW66" s="154">
        <v>5076203097</v>
      </c>
      <c r="BX66" s="272">
        <v>0</v>
      </c>
      <c r="BY66" s="273">
        <v>0</v>
      </c>
      <c r="BZ66" s="273"/>
      <c r="CA66" s="273"/>
      <c r="CB66" s="273"/>
      <c r="CC66" s="273"/>
      <c r="CD66" s="273"/>
      <c r="CE66" s="273"/>
      <c r="CF66" s="273"/>
      <c r="CG66" s="273"/>
      <c r="CH66" s="273"/>
      <c r="CI66" s="273"/>
      <c r="CJ66" s="273"/>
      <c r="CK66" s="274">
        <v>0</v>
      </c>
      <c r="CL66" s="274"/>
      <c r="CM66" s="274"/>
      <c r="CN66" s="274"/>
      <c r="CO66" s="156">
        <f t="shared" si="1"/>
        <v>3233638372</v>
      </c>
      <c r="CP66" s="291">
        <f t="shared" si="2"/>
        <v>0.25612497309952381</v>
      </c>
    </row>
    <row r="67" spans="1:94" s="161" customFormat="1" ht="15.5">
      <c r="A67" s="150" t="str">
        <f t="shared" si="0"/>
        <v>in</v>
      </c>
      <c r="B67" s="150"/>
      <c r="C67" s="157" t="s">
        <v>202</v>
      </c>
      <c r="D67" s="177">
        <v>2444061132</v>
      </c>
      <c r="E67" s="177">
        <v>403750000</v>
      </c>
      <c r="F67" s="177">
        <v>0</v>
      </c>
      <c r="G67" s="177">
        <v>0</v>
      </c>
      <c r="H67" s="177">
        <v>403750000</v>
      </c>
      <c r="I67" s="177">
        <v>0</v>
      </c>
      <c r="J67" s="177">
        <v>0</v>
      </c>
      <c r="K67" s="177">
        <v>117958333</v>
      </c>
      <c r="L67" s="177">
        <v>0</v>
      </c>
      <c r="M67" s="177">
        <v>0</v>
      </c>
      <c r="N67" s="177">
        <v>0</v>
      </c>
      <c r="O67" s="177">
        <v>83333333</v>
      </c>
      <c r="P67" s="177">
        <v>1533785147</v>
      </c>
      <c r="Q67" s="177">
        <v>305234319</v>
      </c>
      <c r="R67" s="177">
        <v>403750000</v>
      </c>
      <c r="S67" s="177">
        <v>117958333</v>
      </c>
      <c r="T67" s="177">
        <v>0</v>
      </c>
      <c r="U67" s="177">
        <v>1922352799</v>
      </c>
      <c r="V67" s="177">
        <v>0</v>
      </c>
      <c r="W67" s="177">
        <v>0</v>
      </c>
      <c r="X67" s="177">
        <v>0</v>
      </c>
      <c r="Y67" s="177">
        <v>0</v>
      </c>
      <c r="Z67" s="177">
        <v>0</v>
      </c>
      <c r="AA67" s="177">
        <v>0</v>
      </c>
      <c r="AB67" s="177">
        <v>0</v>
      </c>
      <c r="AC67" s="177">
        <v>0</v>
      </c>
      <c r="AD67" s="177">
        <v>0</v>
      </c>
      <c r="AE67" s="177">
        <v>0</v>
      </c>
      <c r="AF67" s="177">
        <v>0</v>
      </c>
      <c r="AG67" s="177">
        <v>0</v>
      </c>
      <c r="AH67" s="177">
        <v>0</v>
      </c>
      <c r="AI67" s="177">
        <v>0</v>
      </c>
      <c r="AJ67" s="177"/>
      <c r="AK67" s="177">
        <v>0</v>
      </c>
      <c r="AL67" s="177">
        <v>0</v>
      </c>
      <c r="AM67" s="177">
        <v>0</v>
      </c>
      <c r="AN67" s="177">
        <v>0</v>
      </c>
      <c r="AO67" s="160">
        <v>0</v>
      </c>
      <c r="AP67" s="177">
        <v>0</v>
      </c>
      <c r="AQ67" s="177">
        <v>0</v>
      </c>
      <c r="AR67" s="177">
        <v>0</v>
      </c>
      <c r="AS67" s="177">
        <v>0</v>
      </c>
      <c r="AT67" s="177">
        <v>0</v>
      </c>
      <c r="AU67" s="177">
        <v>0</v>
      </c>
      <c r="AV67" s="177">
        <v>0</v>
      </c>
      <c r="AW67" s="177">
        <v>0</v>
      </c>
      <c r="AX67" s="177">
        <v>0</v>
      </c>
      <c r="AY67" s="177">
        <v>0</v>
      </c>
      <c r="AZ67" s="177">
        <v>0</v>
      </c>
      <c r="BA67" s="177">
        <v>0</v>
      </c>
      <c r="BB67" s="177">
        <v>0</v>
      </c>
      <c r="BC67" s="177">
        <v>0</v>
      </c>
      <c r="BD67" s="177">
        <v>0</v>
      </c>
      <c r="BE67" s="177">
        <v>0</v>
      </c>
      <c r="BF67" s="177">
        <v>0</v>
      </c>
      <c r="BG67" s="270">
        <v>0</v>
      </c>
      <c r="BH67" s="270">
        <v>0</v>
      </c>
      <c r="BI67" s="270">
        <v>0</v>
      </c>
      <c r="BJ67" s="270">
        <v>0</v>
      </c>
      <c r="BK67" s="270">
        <v>0</v>
      </c>
      <c r="BL67" s="270">
        <v>0</v>
      </c>
      <c r="BM67" s="270">
        <v>0</v>
      </c>
      <c r="BN67" s="270">
        <v>0</v>
      </c>
      <c r="BO67" s="270">
        <v>0</v>
      </c>
      <c r="BP67" s="270">
        <v>0</v>
      </c>
      <c r="BQ67" s="299">
        <v>0</v>
      </c>
      <c r="BR67" s="270">
        <v>0</v>
      </c>
      <c r="BS67" s="270">
        <v>0</v>
      </c>
      <c r="BT67" s="177">
        <v>0</v>
      </c>
      <c r="BU67" s="177">
        <v>0</v>
      </c>
      <c r="BV67" s="177">
        <v>0</v>
      </c>
      <c r="BW67" s="177">
        <v>0</v>
      </c>
      <c r="BX67" s="269">
        <v>0</v>
      </c>
      <c r="BY67" s="270">
        <v>0</v>
      </c>
      <c r="BZ67" s="270"/>
      <c r="CA67" s="270"/>
      <c r="CB67" s="270"/>
      <c r="CC67" s="270"/>
      <c r="CD67" s="270"/>
      <c r="CE67" s="270"/>
      <c r="CF67" s="270"/>
      <c r="CG67" s="270"/>
      <c r="CH67" s="270"/>
      <c r="CI67" s="270"/>
      <c r="CJ67" s="270"/>
      <c r="CK67" s="271">
        <v>0</v>
      </c>
      <c r="CL67" s="271"/>
      <c r="CM67" s="271"/>
      <c r="CN67" s="271"/>
      <c r="CO67" s="156">
        <f t="shared" si="1"/>
        <v>0</v>
      </c>
      <c r="CP67" s="291" t="str">
        <f t="shared" si="2"/>
        <v/>
      </c>
    </row>
    <row r="68" spans="1:94" s="198" customFormat="1" ht="15.5" hidden="1" outlineLevel="2">
      <c r="A68" s="150" t="str">
        <f t="shared" si="0"/>
        <v>in</v>
      </c>
      <c r="B68" s="193"/>
      <c r="C68" s="194" t="s">
        <v>203</v>
      </c>
      <c r="D68" s="195">
        <v>521708333</v>
      </c>
      <c r="E68" s="195">
        <v>403750000</v>
      </c>
      <c r="F68" s="195">
        <v>0</v>
      </c>
      <c r="G68" s="195">
        <v>0</v>
      </c>
      <c r="H68" s="195">
        <v>403750000</v>
      </c>
      <c r="I68" s="195">
        <v>0</v>
      </c>
      <c r="J68" s="195">
        <v>0</v>
      </c>
      <c r="K68" s="177">
        <v>117958333</v>
      </c>
      <c r="L68" s="196">
        <v>0</v>
      </c>
      <c r="M68" s="195">
        <v>0</v>
      </c>
      <c r="N68" s="195">
        <v>0</v>
      </c>
      <c r="O68" s="195">
        <v>0</v>
      </c>
      <c r="P68" s="195">
        <v>0</v>
      </c>
      <c r="Q68" s="195">
        <v>0</v>
      </c>
      <c r="R68" s="195">
        <v>403750000</v>
      </c>
      <c r="S68" s="195">
        <v>117958333</v>
      </c>
      <c r="T68" s="195">
        <v>0</v>
      </c>
      <c r="U68" s="195">
        <v>0</v>
      </c>
      <c r="V68" s="195">
        <v>0</v>
      </c>
      <c r="W68" s="195">
        <v>0</v>
      </c>
      <c r="X68" s="195"/>
      <c r="Y68" s="195"/>
      <c r="Z68" s="195"/>
      <c r="AA68" s="195"/>
      <c r="AB68" s="195"/>
      <c r="AC68" s="195"/>
      <c r="AD68" s="196"/>
      <c r="AE68" s="195"/>
      <c r="AF68" s="195"/>
      <c r="AG68" s="195"/>
      <c r="AH68" s="195"/>
      <c r="AI68" s="195"/>
      <c r="AJ68" s="195"/>
      <c r="AK68" s="195">
        <v>0</v>
      </c>
      <c r="AL68" s="195">
        <v>0</v>
      </c>
      <c r="AM68" s="195">
        <v>0</v>
      </c>
      <c r="AN68" s="195">
        <v>0</v>
      </c>
      <c r="AO68" s="160">
        <v>0</v>
      </c>
      <c r="AP68" s="197">
        <v>0</v>
      </c>
      <c r="AQ68" s="195"/>
      <c r="AR68" s="195"/>
      <c r="AS68" s="195"/>
      <c r="AT68" s="195"/>
      <c r="AU68" s="195"/>
      <c r="AV68" s="195"/>
      <c r="AW68" s="195"/>
      <c r="AX68" s="195"/>
      <c r="AY68" s="195"/>
      <c r="AZ68" s="195"/>
      <c r="BA68" s="195"/>
      <c r="BB68" s="195"/>
      <c r="BC68" s="195">
        <v>0</v>
      </c>
      <c r="BD68" s="195">
        <v>0</v>
      </c>
      <c r="BE68" s="195">
        <v>0</v>
      </c>
      <c r="BF68" s="195">
        <v>0</v>
      </c>
      <c r="BG68" s="283">
        <v>0</v>
      </c>
      <c r="BH68" s="283"/>
      <c r="BI68" s="283"/>
      <c r="BJ68" s="283"/>
      <c r="BK68" s="283"/>
      <c r="BL68" s="283"/>
      <c r="BM68" s="283"/>
      <c r="BN68" s="283"/>
      <c r="BO68" s="283"/>
      <c r="BP68" s="283"/>
      <c r="BQ68" s="304"/>
      <c r="BR68" s="283"/>
      <c r="BS68" s="283"/>
      <c r="BT68" s="195">
        <v>0</v>
      </c>
      <c r="BU68" s="195">
        <v>0</v>
      </c>
      <c r="BV68" s="195">
        <v>0</v>
      </c>
      <c r="BW68" s="195">
        <v>0</v>
      </c>
      <c r="BX68" s="282">
        <v>0</v>
      </c>
      <c r="BY68" s="283"/>
      <c r="BZ68" s="283"/>
      <c r="CA68" s="283"/>
      <c r="CB68" s="283"/>
      <c r="CC68" s="283"/>
      <c r="CD68" s="283"/>
      <c r="CE68" s="283"/>
      <c r="CF68" s="283"/>
      <c r="CG68" s="283"/>
      <c r="CH68" s="283"/>
      <c r="CI68" s="283"/>
      <c r="CJ68" s="283"/>
      <c r="CK68" s="284"/>
      <c r="CL68" s="284"/>
      <c r="CM68" s="284"/>
      <c r="CN68" s="284"/>
      <c r="CO68" s="156">
        <f t="shared" si="1"/>
        <v>0</v>
      </c>
      <c r="CP68" s="291" t="str">
        <f t="shared" si="2"/>
        <v/>
      </c>
    </row>
    <row r="69" spans="1:94" s="198" customFormat="1" ht="15.5" hidden="1" outlineLevel="2">
      <c r="A69" s="150" t="str">
        <f t="shared" si="0"/>
        <v>ẩn</v>
      </c>
      <c r="B69" s="193"/>
      <c r="C69" s="194" t="s">
        <v>204</v>
      </c>
      <c r="D69" s="195">
        <v>83333333</v>
      </c>
      <c r="E69" s="195">
        <v>0</v>
      </c>
      <c r="F69" s="195"/>
      <c r="G69" s="195"/>
      <c r="H69" s="195"/>
      <c r="I69" s="195"/>
      <c r="J69" s="195"/>
      <c r="K69" s="195"/>
      <c r="L69" s="196"/>
      <c r="M69" s="195"/>
      <c r="N69" s="195"/>
      <c r="O69" s="195">
        <v>83333333</v>
      </c>
      <c r="P69" s="195"/>
      <c r="Q69" s="195"/>
      <c r="R69" s="195">
        <v>0</v>
      </c>
      <c r="S69" s="195">
        <v>0</v>
      </c>
      <c r="T69" s="195">
        <v>0</v>
      </c>
      <c r="U69" s="195">
        <v>83333333</v>
      </c>
      <c r="V69" s="195">
        <v>0</v>
      </c>
      <c r="W69" s="195">
        <v>0</v>
      </c>
      <c r="X69" s="195"/>
      <c r="Y69" s="195"/>
      <c r="Z69" s="195"/>
      <c r="AA69" s="195"/>
      <c r="AB69" s="195"/>
      <c r="AC69" s="195"/>
      <c r="AD69" s="196"/>
      <c r="AE69" s="195"/>
      <c r="AF69" s="195"/>
      <c r="AG69" s="195"/>
      <c r="AH69" s="195"/>
      <c r="AI69" s="195"/>
      <c r="AJ69" s="195"/>
      <c r="AK69" s="195">
        <v>0</v>
      </c>
      <c r="AL69" s="195">
        <v>0</v>
      </c>
      <c r="AM69" s="195">
        <v>0</v>
      </c>
      <c r="AN69" s="195">
        <v>0</v>
      </c>
      <c r="AO69" s="160">
        <v>0</v>
      </c>
      <c r="AP69" s="197">
        <v>0</v>
      </c>
      <c r="AQ69" s="195"/>
      <c r="AR69" s="195"/>
      <c r="AS69" s="195"/>
      <c r="AT69" s="195"/>
      <c r="AU69" s="195"/>
      <c r="AV69" s="195"/>
      <c r="AW69" s="195"/>
      <c r="AX69" s="195"/>
      <c r="AY69" s="195"/>
      <c r="AZ69" s="195"/>
      <c r="BA69" s="195"/>
      <c r="BB69" s="195"/>
      <c r="BC69" s="195">
        <v>0</v>
      </c>
      <c r="BD69" s="195">
        <v>0</v>
      </c>
      <c r="BE69" s="195">
        <v>0</v>
      </c>
      <c r="BF69" s="195">
        <v>0</v>
      </c>
      <c r="BG69" s="283">
        <v>0</v>
      </c>
      <c r="BH69" s="283"/>
      <c r="BI69" s="283"/>
      <c r="BJ69" s="283"/>
      <c r="BK69" s="283"/>
      <c r="BL69" s="283"/>
      <c r="BM69" s="283"/>
      <c r="BN69" s="283"/>
      <c r="BO69" s="283"/>
      <c r="BP69" s="283"/>
      <c r="BQ69" s="304"/>
      <c r="BR69" s="283"/>
      <c r="BS69" s="283"/>
      <c r="BT69" s="195">
        <v>0</v>
      </c>
      <c r="BU69" s="195">
        <v>0</v>
      </c>
      <c r="BV69" s="195">
        <v>0</v>
      </c>
      <c r="BW69" s="195">
        <v>0</v>
      </c>
      <c r="BX69" s="282">
        <v>0</v>
      </c>
      <c r="BY69" s="283"/>
      <c r="BZ69" s="283"/>
      <c r="CA69" s="283"/>
      <c r="CB69" s="283"/>
      <c r="CC69" s="283"/>
      <c r="CD69" s="283"/>
      <c r="CE69" s="283"/>
      <c r="CF69" s="283"/>
      <c r="CG69" s="283"/>
      <c r="CH69" s="283"/>
      <c r="CI69" s="283"/>
      <c r="CJ69" s="283"/>
      <c r="CK69" s="284"/>
      <c r="CL69" s="284"/>
      <c r="CM69" s="284"/>
      <c r="CN69" s="284"/>
      <c r="CO69" s="156">
        <f t="shared" si="1"/>
        <v>0</v>
      </c>
      <c r="CP69" s="291" t="str">
        <f t="shared" si="2"/>
        <v/>
      </c>
    </row>
    <row r="70" spans="1:94" s="198" customFormat="1" ht="15.5" hidden="1" outlineLevel="2">
      <c r="A70" s="150" t="str">
        <f t="shared" si="0"/>
        <v>ẩn</v>
      </c>
      <c r="B70" s="193"/>
      <c r="C70" s="194" t="s">
        <v>205</v>
      </c>
      <c r="D70" s="195">
        <v>0</v>
      </c>
      <c r="E70" s="195">
        <v>0</v>
      </c>
      <c r="F70" s="195">
        <v>0</v>
      </c>
      <c r="G70" s="195">
        <v>0</v>
      </c>
      <c r="H70" s="195">
        <v>0</v>
      </c>
      <c r="I70" s="195">
        <v>0</v>
      </c>
      <c r="J70" s="195">
        <v>0</v>
      </c>
      <c r="K70" s="195">
        <v>0</v>
      </c>
      <c r="L70" s="196">
        <v>0</v>
      </c>
      <c r="M70" s="195">
        <v>0</v>
      </c>
      <c r="N70" s="195">
        <v>0</v>
      </c>
      <c r="O70" s="195">
        <v>0</v>
      </c>
      <c r="P70" s="195">
        <v>0</v>
      </c>
      <c r="Q70" s="195">
        <v>0</v>
      </c>
      <c r="R70" s="195">
        <v>0</v>
      </c>
      <c r="S70" s="195">
        <v>0</v>
      </c>
      <c r="T70" s="195">
        <v>0</v>
      </c>
      <c r="U70" s="195">
        <v>0</v>
      </c>
      <c r="V70" s="195">
        <v>0</v>
      </c>
      <c r="W70" s="195">
        <v>0</v>
      </c>
      <c r="X70" s="195"/>
      <c r="Y70" s="195"/>
      <c r="Z70" s="195"/>
      <c r="AA70" s="195"/>
      <c r="AB70" s="195"/>
      <c r="AC70" s="195"/>
      <c r="AD70" s="196"/>
      <c r="AE70" s="195"/>
      <c r="AF70" s="195"/>
      <c r="AG70" s="195"/>
      <c r="AH70" s="195"/>
      <c r="AI70" s="195"/>
      <c r="AJ70" s="195"/>
      <c r="AK70" s="195">
        <v>0</v>
      </c>
      <c r="AL70" s="195">
        <v>0</v>
      </c>
      <c r="AM70" s="195">
        <v>0</v>
      </c>
      <c r="AN70" s="195">
        <v>0</v>
      </c>
      <c r="AO70" s="160"/>
      <c r="AP70" s="197">
        <v>0</v>
      </c>
      <c r="AQ70" s="195"/>
      <c r="AR70" s="195"/>
      <c r="AS70" s="195"/>
      <c r="AT70" s="195"/>
      <c r="AU70" s="195"/>
      <c r="AV70" s="195"/>
      <c r="AW70" s="195"/>
      <c r="AX70" s="195"/>
      <c r="AY70" s="195"/>
      <c r="AZ70" s="195"/>
      <c r="BA70" s="195"/>
      <c r="BB70" s="195"/>
      <c r="BC70" s="195">
        <v>0</v>
      </c>
      <c r="BD70" s="195">
        <v>0</v>
      </c>
      <c r="BE70" s="195">
        <v>0</v>
      </c>
      <c r="BF70" s="195">
        <v>0</v>
      </c>
      <c r="BG70" s="283">
        <v>0</v>
      </c>
      <c r="BH70" s="283"/>
      <c r="BI70" s="283"/>
      <c r="BJ70" s="283"/>
      <c r="BK70" s="283"/>
      <c r="BL70" s="283"/>
      <c r="BM70" s="283"/>
      <c r="BN70" s="283"/>
      <c r="BO70" s="283"/>
      <c r="BP70" s="283"/>
      <c r="BQ70" s="304"/>
      <c r="BR70" s="283"/>
      <c r="BS70" s="283"/>
      <c r="BT70" s="195">
        <v>0</v>
      </c>
      <c r="BU70" s="195">
        <v>0</v>
      </c>
      <c r="BV70" s="195">
        <v>0</v>
      </c>
      <c r="BW70" s="195">
        <v>0</v>
      </c>
      <c r="BX70" s="282">
        <v>0</v>
      </c>
      <c r="BY70" s="283"/>
      <c r="BZ70" s="283"/>
      <c r="CA70" s="283"/>
      <c r="CB70" s="283"/>
      <c r="CC70" s="283"/>
      <c r="CD70" s="283"/>
      <c r="CE70" s="283"/>
      <c r="CF70" s="283"/>
      <c r="CG70" s="283"/>
      <c r="CH70" s="283"/>
      <c r="CI70" s="283"/>
      <c r="CJ70" s="283"/>
      <c r="CK70" s="284"/>
      <c r="CL70" s="284"/>
      <c r="CM70" s="284"/>
      <c r="CN70" s="284"/>
      <c r="CO70" s="156">
        <f t="shared" si="1"/>
        <v>0</v>
      </c>
      <c r="CP70" s="291" t="str">
        <f t="shared" si="2"/>
        <v/>
      </c>
    </row>
    <row r="71" spans="1:94" s="198" customFormat="1" ht="15.5" hidden="1" outlineLevel="2">
      <c r="A71" s="150" t="str">
        <f t="shared" si="0"/>
        <v>ẩn</v>
      </c>
      <c r="B71" s="193"/>
      <c r="C71" s="194" t="s">
        <v>206</v>
      </c>
      <c r="D71" s="195">
        <v>1839019466</v>
      </c>
      <c r="E71" s="195">
        <v>0</v>
      </c>
      <c r="F71" s="195"/>
      <c r="G71" s="195"/>
      <c r="H71" s="195"/>
      <c r="I71" s="195"/>
      <c r="J71" s="195"/>
      <c r="K71" s="195"/>
      <c r="L71" s="196"/>
      <c r="M71" s="195"/>
      <c r="N71" s="195"/>
      <c r="O71" s="195"/>
      <c r="P71" s="177">
        <v>1533785147</v>
      </c>
      <c r="Q71" s="177">
        <v>305234319</v>
      </c>
      <c r="R71" s="177">
        <v>0</v>
      </c>
      <c r="S71" s="177">
        <v>0</v>
      </c>
      <c r="T71" s="177">
        <v>0</v>
      </c>
      <c r="U71" s="177">
        <v>1839019466</v>
      </c>
      <c r="V71" s="195">
        <v>0</v>
      </c>
      <c r="W71" s="195">
        <v>0</v>
      </c>
      <c r="X71" s="195"/>
      <c r="Y71" s="195"/>
      <c r="Z71" s="195"/>
      <c r="AA71" s="195"/>
      <c r="AB71" s="195"/>
      <c r="AC71" s="195"/>
      <c r="AD71" s="196"/>
      <c r="AE71" s="195"/>
      <c r="AF71" s="195"/>
      <c r="AG71" s="195"/>
      <c r="AH71" s="195"/>
      <c r="AI71" s="195"/>
      <c r="AJ71" s="195"/>
      <c r="AK71" s="195">
        <v>0</v>
      </c>
      <c r="AL71" s="195">
        <v>0</v>
      </c>
      <c r="AM71" s="195">
        <v>0</v>
      </c>
      <c r="AN71" s="195">
        <v>0</v>
      </c>
      <c r="AO71" s="160">
        <v>0</v>
      </c>
      <c r="AP71" s="197">
        <v>0</v>
      </c>
      <c r="AQ71" s="177"/>
      <c r="AR71" s="177"/>
      <c r="AS71" s="177"/>
      <c r="AT71" s="177"/>
      <c r="AU71" s="177"/>
      <c r="AV71" s="177"/>
      <c r="AW71" s="177"/>
      <c r="AX71" s="177"/>
      <c r="AY71" s="177"/>
      <c r="AZ71" s="177"/>
      <c r="BA71" s="177"/>
      <c r="BB71" s="177"/>
      <c r="BC71" s="177">
        <v>0</v>
      </c>
      <c r="BD71" s="177">
        <v>0</v>
      </c>
      <c r="BE71" s="177">
        <v>0</v>
      </c>
      <c r="BF71" s="177">
        <v>0</v>
      </c>
      <c r="BG71" s="283">
        <v>0</v>
      </c>
      <c r="BH71" s="283"/>
      <c r="BI71" s="283"/>
      <c r="BJ71" s="283"/>
      <c r="BK71" s="283"/>
      <c r="BL71" s="283"/>
      <c r="BM71" s="283"/>
      <c r="BN71" s="283"/>
      <c r="BO71" s="283"/>
      <c r="BP71" s="283"/>
      <c r="BQ71" s="299"/>
      <c r="BR71" s="283"/>
      <c r="BS71" s="283"/>
      <c r="BT71" s="195">
        <v>0</v>
      </c>
      <c r="BU71" s="195">
        <v>0</v>
      </c>
      <c r="BV71" s="195">
        <v>0</v>
      </c>
      <c r="BW71" s="195">
        <v>0</v>
      </c>
      <c r="BX71" s="282">
        <v>0</v>
      </c>
      <c r="BY71" s="283"/>
      <c r="BZ71" s="283"/>
      <c r="CA71" s="283"/>
      <c r="CB71" s="283"/>
      <c r="CC71" s="283"/>
      <c r="CD71" s="283"/>
      <c r="CE71" s="283"/>
      <c r="CF71" s="283"/>
      <c r="CG71" s="283"/>
      <c r="CH71" s="283"/>
      <c r="CI71" s="283"/>
      <c r="CJ71" s="283"/>
      <c r="CK71" s="284"/>
      <c r="CL71" s="284"/>
      <c r="CM71" s="284"/>
      <c r="CN71" s="284"/>
      <c r="CO71" s="156">
        <f t="shared" si="1"/>
        <v>0</v>
      </c>
      <c r="CP71" s="291" t="str">
        <f t="shared" si="2"/>
        <v/>
      </c>
    </row>
    <row r="72" spans="1:94" s="161" customFormat="1" ht="15.5" hidden="1" outlineLevel="1">
      <c r="A72" s="150" t="str">
        <f t="shared" si="0"/>
        <v>in</v>
      </c>
      <c r="B72" s="150"/>
      <c r="C72" s="157" t="s">
        <v>207</v>
      </c>
      <c r="D72" s="159">
        <v>-82199104111</v>
      </c>
      <c r="E72" s="159">
        <v>21075725899</v>
      </c>
      <c r="F72" s="177">
        <v>0</v>
      </c>
      <c r="G72" s="177">
        <v>0</v>
      </c>
      <c r="H72" s="177">
        <v>21075725899</v>
      </c>
      <c r="I72" s="177">
        <v>0</v>
      </c>
      <c r="J72" s="177">
        <v>-149800000</v>
      </c>
      <c r="K72" s="177">
        <v>29860923613</v>
      </c>
      <c r="L72" s="177">
        <v>0</v>
      </c>
      <c r="M72" s="177">
        <v>0</v>
      </c>
      <c r="N72" s="177">
        <v>-77686854144</v>
      </c>
      <c r="O72" s="177">
        <v>-73342043679</v>
      </c>
      <c r="P72" s="177">
        <v>0</v>
      </c>
      <c r="Q72" s="177">
        <v>18042944200</v>
      </c>
      <c r="R72" s="177">
        <v>21075725899</v>
      </c>
      <c r="S72" s="177">
        <v>29711123613</v>
      </c>
      <c r="T72" s="177">
        <v>-77686854144</v>
      </c>
      <c r="U72" s="177">
        <v>-55299099479</v>
      </c>
      <c r="V72" s="177">
        <v>34210321738</v>
      </c>
      <c r="W72" s="177">
        <v>34210321738</v>
      </c>
      <c r="X72" s="177">
        <v>0</v>
      </c>
      <c r="Y72" s="177">
        <v>0</v>
      </c>
      <c r="Z72" s="177">
        <v>19419876781</v>
      </c>
      <c r="AA72" s="177">
        <v>0</v>
      </c>
      <c r="AB72" s="177">
        <v>0</v>
      </c>
      <c r="AC72" s="177">
        <v>31403833694</v>
      </c>
      <c r="AD72" s="177">
        <v>0</v>
      </c>
      <c r="AE72" s="177">
        <v>0</v>
      </c>
      <c r="AF72" s="177">
        <v>-27619694166</v>
      </c>
      <c r="AG72" s="177">
        <v>0</v>
      </c>
      <c r="AH72" s="177">
        <v>0</v>
      </c>
      <c r="AI72" s="177">
        <v>11006305429</v>
      </c>
      <c r="AJ72" s="177"/>
      <c r="AK72" s="177">
        <v>19419876781</v>
      </c>
      <c r="AL72" s="177">
        <v>31403833694</v>
      </c>
      <c r="AM72" s="177">
        <v>-27619694166</v>
      </c>
      <c r="AN72" s="177">
        <v>11006305429</v>
      </c>
      <c r="AO72" s="160">
        <v>-0.41618849874328406</v>
      </c>
      <c r="AP72" s="177">
        <v>12625236551</v>
      </c>
      <c r="AQ72" s="177">
        <v>0</v>
      </c>
      <c r="AR72" s="177">
        <v>0</v>
      </c>
      <c r="AS72" s="177">
        <v>18566685331</v>
      </c>
      <c r="AT72" s="177">
        <v>0</v>
      </c>
      <c r="AU72" s="177">
        <v>0</v>
      </c>
      <c r="AV72" s="177">
        <v>4544357873</v>
      </c>
      <c r="AW72" s="177">
        <v>0</v>
      </c>
      <c r="AX72" s="177">
        <v>0</v>
      </c>
      <c r="AY72" s="177">
        <v>-852558849</v>
      </c>
      <c r="AZ72" s="177">
        <v>0</v>
      </c>
      <c r="BA72" s="177">
        <v>0</v>
      </c>
      <c r="BB72" s="177">
        <v>-9633247804</v>
      </c>
      <c r="BC72" s="177">
        <v>18566685331</v>
      </c>
      <c r="BD72" s="177">
        <v>4544357873</v>
      </c>
      <c r="BE72" s="177">
        <v>-852558849</v>
      </c>
      <c r="BF72" s="177">
        <v>-9633247804</v>
      </c>
      <c r="BG72" s="270">
        <v>15858874923</v>
      </c>
      <c r="BH72" s="270"/>
      <c r="BI72" s="270">
        <v>0</v>
      </c>
      <c r="BJ72" s="270">
        <v>6231560689</v>
      </c>
      <c r="BK72" s="270">
        <v>0</v>
      </c>
      <c r="BL72" s="270">
        <v>0</v>
      </c>
      <c r="BM72" s="270">
        <v>4191772984</v>
      </c>
      <c r="BN72" s="270">
        <v>0</v>
      </c>
      <c r="BO72" s="270">
        <v>0</v>
      </c>
      <c r="BP72" s="270">
        <v>359338153</v>
      </c>
      <c r="BQ72" s="299">
        <v>0</v>
      </c>
      <c r="BR72" s="270">
        <v>0</v>
      </c>
      <c r="BS72" s="270">
        <v>5076203097</v>
      </c>
      <c r="BT72" s="177">
        <v>6231560689</v>
      </c>
      <c r="BU72" s="177">
        <v>4191772984</v>
      </c>
      <c r="BV72" s="177">
        <v>359338153</v>
      </c>
      <c r="BW72" s="177">
        <v>5076203097</v>
      </c>
      <c r="BX72" s="269">
        <v>0</v>
      </c>
      <c r="BY72" s="270">
        <v>0</v>
      </c>
      <c r="BZ72" s="270"/>
      <c r="CA72" s="270"/>
      <c r="CB72" s="270"/>
      <c r="CC72" s="270"/>
      <c r="CD72" s="270"/>
      <c r="CE72" s="270"/>
      <c r="CF72" s="270"/>
      <c r="CG72" s="270"/>
      <c r="CH72" s="270"/>
      <c r="CI72" s="270"/>
      <c r="CJ72" s="270"/>
      <c r="CK72" s="271">
        <v>0</v>
      </c>
      <c r="CL72" s="271"/>
      <c r="CM72" s="271"/>
      <c r="CN72" s="271"/>
      <c r="CO72" s="156">
        <f t="shared" si="1"/>
        <v>3233638372</v>
      </c>
      <c r="CP72" s="291">
        <f t="shared" si="2"/>
        <v>0.25612497309952381</v>
      </c>
    </row>
    <row r="73" spans="1:94" s="198" customFormat="1" ht="15.5" hidden="1" outlineLevel="2">
      <c r="A73" s="150" t="str">
        <f t="shared" si="0"/>
        <v>in</v>
      </c>
      <c r="B73" s="193"/>
      <c r="C73" s="194" t="s">
        <v>208</v>
      </c>
      <c r="D73" s="195">
        <v>-29165693924</v>
      </c>
      <c r="E73" s="195">
        <v>6168793054</v>
      </c>
      <c r="F73" s="195"/>
      <c r="G73" s="195"/>
      <c r="H73" s="195">
        <v>6168793054</v>
      </c>
      <c r="I73" s="195"/>
      <c r="J73" s="195"/>
      <c r="K73" s="195">
        <v>3647559235</v>
      </c>
      <c r="L73" s="196"/>
      <c r="M73" s="195"/>
      <c r="N73" s="195">
        <v>-52998238668</v>
      </c>
      <c r="O73" s="195"/>
      <c r="P73" s="195"/>
      <c r="Q73" s="195">
        <v>14016192455</v>
      </c>
      <c r="R73" s="195">
        <v>6168793054</v>
      </c>
      <c r="S73" s="195">
        <v>3647559235</v>
      </c>
      <c r="T73" s="195">
        <v>-52998238668</v>
      </c>
      <c r="U73" s="195">
        <v>14016192455</v>
      </c>
      <c r="V73" s="195">
        <v>23882255868</v>
      </c>
      <c r="W73" s="195">
        <v>23882255868</v>
      </c>
      <c r="X73" s="195"/>
      <c r="Y73" s="195"/>
      <c r="Z73" s="195">
        <v>5500075785</v>
      </c>
      <c r="AA73" s="195"/>
      <c r="AB73" s="195"/>
      <c r="AC73" s="195">
        <v>7135937347</v>
      </c>
      <c r="AD73" s="195"/>
      <c r="AE73" s="195"/>
      <c r="AF73" s="195">
        <v>4678419299</v>
      </c>
      <c r="AG73" s="195"/>
      <c r="AH73" s="195"/>
      <c r="AI73" s="195">
        <v>6567823437</v>
      </c>
      <c r="AJ73" s="195"/>
      <c r="AK73" s="195">
        <v>5500075785</v>
      </c>
      <c r="AL73" s="195">
        <v>7135937347</v>
      </c>
      <c r="AM73" s="195">
        <v>4678419299</v>
      </c>
      <c r="AN73" s="195">
        <v>6567823437</v>
      </c>
      <c r="AO73" s="160">
        <v>-0.81884751071695439</v>
      </c>
      <c r="AP73" s="197">
        <v>-428029615</v>
      </c>
      <c r="AQ73" s="195"/>
      <c r="AR73" s="195"/>
      <c r="AS73" s="195">
        <v>4508439372</v>
      </c>
      <c r="AT73" s="195"/>
      <c r="AU73" s="195"/>
      <c r="AV73" s="195">
        <v>4757409600</v>
      </c>
      <c r="AW73" s="195"/>
      <c r="AX73" s="195"/>
      <c r="AY73" s="195">
        <v>-201252194</v>
      </c>
      <c r="AZ73" s="195"/>
      <c r="BA73" s="195"/>
      <c r="BB73" s="195">
        <v>-9492626393</v>
      </c>
      <c r="BC73" s="195">
        <v>4508439372</v>
      </c>
      <c r="BD73" s="195">
        <v>4757409600</v>
      </c>
      <c r="BE73" s="195">
        <v>-201252194</v>
      </c>
      <c r="BF73" s="195">
        <v>-9492626393</v>
      </c>
      <c r="BG73" s="283">
        <v>10477782631</v>
      </c>
      <c r="BH73" s="283"/>
      <c r="BI73" s="283"/>
      <c r="BJ73" s="283">
        <v>4052324117</v>
      </c>
      <c r="BK73" s="283"/>
      <c r="BL73" s="283"/>
      <c r="BM73" s="283">
        <v>2395537542</v>
      </c>
      <c r="BN73" s="283"/>
      <c r="BO73" s="283"/>
      <c r="BP73" s="283">
        <v>234033318</v>
      </c>
      <c r="BQ73" s="304"/>
      <c r="BR73" s="283"/>
      <c r="BS73" s="283">
        <v>3795887654</v>
      </c>
      <c r="BT73" s="195">
        <v>4052324117</v>
      </c>
      <c r="BU73" s="195">
        <v>2395537542</v>
      </c>
      <c r="BV73" s="195">
        <v>234033318</v>
      </c>
      <c r="BW73" s="195">
        <v>3795887654</v>
      </c>
      <c r="BX73" s="282">
        <v>0</v>
      </c>
      <c r="BY73" s="283"/>
      <c r="BZ73" s="283"/>
      <c r="CA73" s="283"/>
      <c r="CB73" s="283"/>
      <c r="CC73" s="283"/>
      <c r="CD73" s="283"/>
      <c r="CE73" s="283"/>
      <c r="CF73" s="283"/>
      <c r="CG73" s="283"/>
      <c r="CH73" s="283"/>
      <c r="CI73" s="283"/>
      <c r="CJ73" s="283"/>
      <c r="CK73" s="284"/>
      <c r="CL73" s="284"/>
      <c r="CM73" s="284"/>
      <c r="CN73" s="284"/>
      <c r="CO73" s="156">
        <f t="shared" ref="CO73:CO128" si="5">BG73-AP73</f>
        <v>10905812246</v>
      </c>
      <c r="CP73" s="291">
        <f t="shared" ref="CP73:CP128" si="6">IF(AP73&lt;&gt;0,CO73/AP73,"")</f>
        <v>-25.479106734238471</v>
      </c>
    </row>
    <row r="74" spans="1:94" s="198" customFormat="1" ht="15.5" hidden="1" outlineLevel="2">
      <c r="A74" s="150" t="str">
        <f t="shared" si="0"/>
        <v>in</v>
      </c>
      <c r="B74" s="193"/>
      <c r="C74" s="194" t="s">
        <v>209</v>
      </c>
      <c r="D74" s="195">
        <v>2151606907</v>
      </c>
      <c r="E74" s="195">
        <v>83080308</v>
      </c>
      <c r="F74" s="195"/>
      <c r="G74" s="195"/>
      <c r="H74" s="195">
        <v>83080308</v>
      </c>
      <c r="I74" s="195"/>
      <c r="J74" s="195"/>
      <c r="K74" s="195">
        <v>746062941</v>
      </c>
      <c r="L74" s="196"/>
      <c r="M74" s="195"/>
      <c r="N74" s="195">
        <v>-229572197</v>
      </c>
      <c r="O74" s="195"/>
      <c r="P74" s="195"/>
      <c r="Q74" s="195">
        <v>1552035855</v>
      </c>
      <c r="R74" s="195">
        <v>83080308</v>
      </c>
      <c r="S74" s="195">
        <v>746062941</v>
      </c>
      <c r="T74" s="195">
        <v>-229572197</v>
      </c>
      <c r="U74" s="195">
        <v>1552035855</v>
      </c>
      <c r="V74" s="195">
        <v>2894923926</v>
      </c>
      <c r="W74" s="195">
        <v>2894923926</v>
      </c>
      <c r="X74" s="195"/>
      <c r="Y74" s="195"/>
      <c r="Z74" s="195">
        <v>30981225</v>
      </c>
      <c r="AA74" s="195"/>
      <c r="AB74" s="195"/>
      <c r="AC74" s="195">
        <v>834050538</v>
      </c>
      <c r="AD74" s="195"/>
      <c r="AE74" s="195"/>
      <c r="AF74" s="195">
        <v>-555939709</v>
      </c>
      <c r="AG74" s="195"/>
      <c r="AH74" s="195"/>
      <c r="AI74" s="195">
        <v>2585831872</v>
      </c>
      <c r="AJ74" s="195"/>
      <c r="AK74" s="195">
        <v>30981225</v>
      </c>
      <c r="AL74" s="195">
        <v>834050538</v>
      </c>
      <c r="AM74" s="195">
        <v>-555939709</v>
      </c>
      <c r="AN74" s="195">
        <v>2585831872</v>
      </c>
      <c r="AO74" s="160">
        <v>1.3454706417709041</v>
      </c>
      <c r="AP74" s="197">
        <v>-6783748152</v>
      </c>
      <c r="AQ74" s="195"/>
      <c r="AR74" s="195"/>
      <c r="AS74" s="195">
        <v>-211858220</v>
      </c>
      <c r="AT74" s="195"/>
      <c r="AU74" s="195"/>
      <c r="AV74" s="195">
        <v>-2179777353</v>
      </c>
      <c r="AW74" s="195"/>
      <c r="AX74" s="195"/>
      <c r="AY74" s="195">
        <v>-2412226658</v>
      </c>
      <c r="AZ74" s="195"/>
      <c r="BA74" s="195"/>
      <c r="BB74" s="195">
        <v>-1957462209</v>
      </c>
      <c r="BC74" s="195">
        <v>-211858220</v>
      </c>
      <c r="BD74" s="195">
        <v>-2179777353</v>
      </c>
      <c r="BE74" s="195">
        <v>-2412226658</v>
      </c>
      <c r="BF74" s="195">
        <v>-1979885921</v>
      </c>
      <c r="BG74" s="283">
        <v>-1184555372</v>
      </c>
      <c r="BH74" s="283"/>
      <c r="BI74" s="283"/>
      <c r="BJ74" s="283">
        <v>1713196</v>
      </c>
      <c r="BK74" s="283"/>
      <c r="BL74" s="283"/>
      <c r="BM74" s="283">
        <v>-471434852</v>
      </c>
      <c r="BN74" s="283"/>
      <c r="BO74" s="283"/>
      <c r="BP74" s="283">
        <v>-1510116361</v>
      </c>
      <c r="BQ74" s="304"/>
      <c r="BR74" s="283"/>
      <c r="BS74" s="283">
        <v>795282645</v>
      </c>
      <c r="BT74" s="195">
        <v>1713196</v>
      </c>
      <c r="BU74" s="195">
        <v>-471434852</v>
      </c>
      <c r="BV74" s="195">
        <v>-1510116361</v>
      </c>
      <c r="BW74" s="195">
        <v>795282645</v>
      </c>
      <c r="BX74" s="282">
        <v>0</v>
      </c>
      <c r="BY74" s="283"/>
      <c r="BZ74" s="283"/>
      <c r="CA74" s="283"/>
      <c r="CB74" s="283"/>
      <c r="CC74" s="283"/>
      <c r="CD74" s="283"/>
      <c r="CE74" s="283"/>
      <c r="CF74" s="283"/>
      <c r="CG74" s="283"/>
      <c r="CH74" s="283"/>
      <c r="CI74" s="283"/>
      <c r="CJ74" s="283"/>
      <c r="CK74" s="284"/>
      <c r="CL74" s="284"/>
      <c r="CM74" s="284"/>
      <c r="CN74" s="284"/>
      <c r="CO74" s="156">
        <f t="shared" si="5"/>
        <v>5599192780</v>
      </c>
      <c r="CP74" s="291">
        <f t="shared" si="6"/>
        <v>-0.825383350699603</v>
      </c>
    </row>
    <row r="75" spans="1:94" s="198" customFormat="1" ht="15.5" hidden="1" outlineLevel="2">
      <c r="A75" s="150" t="str">
        <f t="shared" ref="A75:A118" si="7">IF((E75+V75)&lt;&gt;0, "in", "ẩn")</f>
        <v>in</v>
      </c>
      <c r="B75" s="193"/>
      <c r="C75" s="194" t="s">
        <v>210</v>
      </c>
      <c r="D75" s="195">
        <v>8042784644.4646301</v>
      </c>
      <c r="E75" s="195">
        <v>1845419239</v>
      </c>
      <c r="F75" s="195"/>
      <c r="G75" s="195"/>
      <c r="H75" s="195">
        <v>1845419239</v>
      </c>
      <c r="I75" s="195"/>
      <c r="J75" s="195"/>
      <c r="K75" s="195">
        <v>1874674376</v>
      </c>
      <c r="L75" s="196"/>
      <c r="M75" s="195"/>
      <c r="N75" s="195">
        <v>1847975139</v>
      </c>
      <c r="O75" s="195"/>
      <c r="P75" s="195"/>
      <c r="Q75" s="195">
        <v>2474715890.4646301</v>
      </c>
      <c r="R75" s="195">
        <v>1845419239</v>
      </c>
      <c r="S75" s="195">
        <v>1874674376</v>
      </c>
      <c r="T75" s="195">
        <v>1847975139</v>
      </c>
      <c r="U75" s="195">
        <v>2474715890.4646301</v>
      </c>
      <c r="V75" s="195">
        <v>7433141944</v>
      </c>
      <c r="W75" s="195">
        <v>7433141944</v>
      </c>
      <c r="X75" s="195"/>
      <c r="Y75" s="195"/>
      <c r="Z75" s="195">
        <v>1816834680</v>
      </c>
      <c r="AA75" s="195"/>
      <c r="AB75" s="195"/>
      <c r="AC75" s="195">
        <v>1876554612</v>
      </c>
      <c r="AD75" s="195"/>
      <c r="AE75" s="195"/>
      <c r="AF75" s="195">
        <v>1887102532</v>
      </c>
      <c r="AG75" s="195"/>
      <c r="AH75" s="195"/>
      <c r="AI75" s="195">
        <v>1852650120</v>
      </c>
      <c r="AJ75" s="195"/>
      <c r="AK75" s="195">
        <v>1816834680</v>
      </c>
      <c r="AL75" s="195">
        <v>1876554612</v>
      </c>
      <c r="AM75" s="195">
        <v>1887102532</v>
      </c>
      <c r="AN75" s="195">
        <v>1852650120</v>
      </c>
      <c r="AO75" s="160">
        <v>0.92420004669847644</v>
      </c>
      <c r="AP75" s="197">
        <v>7862581876</v>
      </c>
      <c r="AQ75" s="195"/>
      <c r="AR75" s="195"/>
      <c r="AS75" s="195">
        <v>2318095449</v>
      </c>
      <c r="AT75" s="195"/>
      <c r="AU75" s="195"/>
      <c r="AV75" s="195">
        <v>1966725626</v>
      </c>
      <c r="AW75" s="195"/>
      <c r="AX75" s="195"/>
      <c r="AY75" s="195">
        <v>1760920003</v>
      </c>
      <c r="AZ75" s="195"/>
      <c r="BA75" s="195"/>
      <c r="BB75" s="195">
        <v>1816840798</v>
      </c>
      <c r="BC75" s="195">
        <v>2318095449</v>
      </c>
      <c r="BD75" s="195">
        <v>1966725626</v>
      </c>
      <c r="BE75" s="195">
        <v>1760920003</v>
      </c>
      <c r="BF75" s="195">
        <v>1816840798</v>
      </c>
      <c r="BG75" s="283">
        <v>6565647664</v>
      </c>
      <c r="BH75" s="283"/>
      <c r="BI75" s="283"/>
      <c r="BJ75" s="283">
        <v>2177523376</v>
      </c>
      <c r="BK75" s="283"/>
      <c r="BL75" s="283"/>
      <c r="BM75" s="283">
        <v>2267670294</v>
      </c>
      <c r="BN75" s="283"/>
      <c r="BO75" s="283"/>
      <c r="BP75" s="283">
        <v>1635421196</v>
      </c>
      <c r="BQ75" s="304"/>
      <c r="BR75" s="283"/>
      <c r="BS75" s="283">
        <v>485032798</v>
      </c>
      <c r="BT75" s="195">
        <v>2177523376</v>
      </c>
      <c r="BU75" s="195">
        <v>2267670294</v>
      </c>
      <c r="BV75" s="195">
        <v>1635421196</v>
      </c>
      <c r="BW75" s="195">
        <v>485032798</v>
      </c>
      <c r="BX75" s="282">
        <v>0</v>
      </c>
      <c r="BY75" s="283"/>
      <c r="BZ75" s="283"/>
      <c r="CA75" s="283"/>
      <c r="CB75" s="283"/>
      <c r="CC75" s="283"/>
      <c r="CD75" s="283"/>
      <c r="CE75" s="283"/>
      <c r="CF75" s="283"/>
      <c r="CG75" s="283"/>
      <c r="CH75" s="283"/>
      <c r="CI75" s="283"/>
      <c r="CJ75" s="283"/>
      <c r="CK75" s="284"/>
      <c r="CL75" s="284"/>
      <c r="CM75" s="284"/>
      <c r="CN75" s="284"/>
      <c r="CO75" s="156">
        <f t="shared" si="5"/>
        <v>-1296934212</v>
      </c>
      <c r="CP75" s="291">
        <f t="shared" si="6"/>
        <v>-0.16495016935325074</v>
      </c>
    </row>
    <row r="76" spans="1:94" s="198" customFormat="1" ht="15.5" hidden="1" outlineLevel="2">
      <c r="A76" s="150" t="str">
        <f t="shared" si="7"/>
        <v>in</v>
      </c>
      <c r="B76" s="193"/>
      <c r="C76" s="194" t="s">
        <v>211</v>
      </c>
      <c r="D76" s="195">
        <v>-63273961362</v>
      </c>
      <c r="E76" s="195">
        <v>-2712916</v>
      </c>
      <c r="F76" s="195"/>
      <c r="G76" s="195"/>
      <c r="H76" s="195">
        <v>-2712916</v>
      </c>
      <c r="I76" s="195"/>
      <c r="J76" s="195"/>
      <c r="K76" s="195">
        <v>-2602003</v>
      </c>
      <c r="L76" s="196"/>
      <c r="M76" s="195"/>
      <c r="N76" s="195">
        <v>10073397236</v>
      </c>
      <c r="O76" s="195">
        <v>-73342043679</v>
      </c>
      <c r="P76" s="195"/>
      <c r="Q76" s="195">
        <v>0</v>
      </c>
      <c r="R76" s="195">
        <v>-2712916</v>
      </c>
      <c r="S76" s="195">
        <v>-2602003</v>
      </c>
      <c r="T76" s="195">
        <v>10073397236</v>
      </c>
      <c r="U76" s="195">
        <v>-73342043679</v>
      </c>
      <c r="V76" s="195">
        <v>0</v>
      </c>
      <c r="W76" s="195">
        <v>0</v>
      </c>
      <c r="X76" s="195"/>
      <c r="Y76" s="195"/>
      <c r="Z76" s="195"/>
      <c r="AA76" s="195"/>
      <c r="AB76" s="195"/>
      <c r="AC76" s="195"/>
      <c r="AD76" s="196"/>
      <c r="AE76" s="195"/>
      <c r="AF76" s="195"/>
      <c r="AG76" s="195"/>
      <c r="AH76" s="195"/>
      <c r="AI76" s="195"/>
      <c r="AJ76" s="195"/>
      <c r="AK76" s="195">
        <v>0</v>
      </c>
      <c r="AL76" s="195">
        <v>0</v>
      </c>
      <c r="AM76" s="195">
        <v>0</v>
      </c>
      <c r="AN76" s="195">
        <v>0</v>
      </c>
      <c r="AO76" s="160">
        <v>0</v>
      </c>
      <c r="AP76" s="197">
        <v>0</v>
      </c>
      <c r="AQ76" s="195"/>
      <c r="AR76" s="195"/>
      <c r="AS76" s="195"/>
      <c r="AT76" s="195"/>
      <c r="AU76" s="195"/>
      <c r="AV76" s="195"/>
      <c r="AW76" s="195"/>
      <c r="AX76" s="195"/>
      <c r="AY76" s="195"/>
      <c r="AZ76" s="195"/>
      <c r="BA76" s="195"/>
      <c r="BB76" s="195"/>
      <c r="BC76" s="195">
        <v>0</v>
      </c>
      <c r="BD76" s="195">
        <v>0</v>
      </c>
      <c r="BE76" s="195">
        <v>0</v>
      </c>
      <c r="BF76" s="195">
        <v>0</v>
      </c>
      <c r="BG76" s="283">
        <v>0</v>
      </c>
      <c r="BH76" s="283"/>
      <c r="BI76" s="283"/>
      <c r="BJ76" s="283"/>
      <c r="BK76" s="283"/>
      <c r="BL76" s="283"/>
      <c r="BM76" s="283"/>
      <c r="BN76" s="283"/>
      <c r="BO76" s="283"/>
      <c r="BP76" s="283"/>
      <c r="BQ76" s="304"/>
      <c r="BR76" s="283"/>
      <c r="BS76" s="283"/>
      <c r="BT76" s="195">
        <v>0</v>
      </c>
      <c r="BU76" s="195">
        <v>0</v>
      </c>
      <c r="BV76" s="195">
        <v>0</v>
      </c>
      <c r="BW76" s="195">
        <v>0</v>
      </c>
      <c r="BX76" s="282">
        <v>0</v>
      </c>
      <c r="BY76" s="283"/>
      <c r="BZ76" s="283"/>
      <c r="CA76" s="283"/>
      <c r="CB76" s="283"/>
      <c r="CC76" s="283"/>
      <c r="CD76" s="283"/>
      <c r="CE76" s="283"/>
      <c r="CF76" s="283"/>
      <c r="CG76" s="283"/>
      <c r="CH76" s="283"/>
      <c r="CI76" s="283"/>
      <c r="CJ76" s="283"/>
      <c r="CK76" s="284"/>
      <c r="CL76" s="284"/>
      <c r="CM76" s="284"/>
      <c r="CN76" s="284"/>
      <c r="CO76" s="156">
        <f t="shared" si="5"/>
        <v>0</v>
      </c>
      <c r="CP76" s="291" t="str">
        <f t="shared" si="6"/>
        <v/>
      </c>
    </row>
    <row r="77" spans="1:94" s="198" customFormat="1" ht="15.5" hidden="1" outlineLevel="2">
      <c r="A77" s="150" t="str">
        <f t="shared" si="7"/>
        <v>ẩn</v>
      </c>
      <c r="B77" s="193"/>
      <c r="C77" s="194" t="s">
        <v>212</v>
      </c>
      <c r="D77" s="195">
        <v>-149800000</v>
      </c>
      <c r="E77" s="195">
        <v>0</v>
      </c>
      <c r="F77" s="195"/>
      <c r="G77" s="195"/>
      <c r="H77" s="195">
        <v>0</v>
      </c>
      <c r="I77" s="195"/>
      <c r="J77" s="195">
        <v>-149800000</v>
      </c>
      <c r="K77" s="195"/>
      <c r="L77" s="196"/>
      <c r="M77" s="195"/>
      <c r="N77" s="195"/>
      <c r="O77" s="195"/>
      <c r="P77" s="195"/>
      <c r="Q77" s="195">
        <v>0</v>
      </c>
      <c r="R77" s="195">
        <v>0</v>
      </c>
      <c r="S77" s="195">
        <v>-149800000</v>
      </c>
      <c r="T77" s="195">
        <v>0</v>
      </c>
      <c r="U77" s="195">
        <v>0</v>
      </c>
      <c r="V77" s="195">
        <v>0</v>
      </c>
      <c r="W77" s="195">
        <v>0</v>
      </c>
      <c r="X77" s="195"/>
      <c r="Y77" s="195"/>
      <c r="Z77" s="195"/>
      <c r="AA77" s="195"/>
      <c r="AB77" s="195"/>
      <c r="AC77" s="195"/>
      <c r="AD77" s="196"/>
      <c r="AE77" s="195"/>
      <c r="AF77" s="195"/>
      <c r="AG77" s="195"/>
      <c r="AH77" s="195"/>
      <c r="AI77" s="195"/>
      <c r="AJ77" s="195"/>
      <c r="AK77" s="195">
        <v>0</v>
      </c>
      <c r="AL77" s="195">
        <v>0</v>
      </c>
      <c r="AM77" s="195">
        <v>0</v>
      </c>
      <c r="AN77" s="195">
        <v>0</v>
      </c>
      <c r="AO77" s="160">
        <v>0</v>
      </c>
      <c r="AP77" s="197">
        <v>0</v>
      </c>
      <c r="AQ77" s="195"/>
      <c r="AR77" s="195"/>
      <c r="AS77" s="195"/>
      <c r="AT77" s="195"/>
      <c r="AU77" s="195"/>
      <c r="AV77" s="195"/>
      <c r="AW77" s="195"/>
      <c r="AX77" s="195"/>
      <c r="AY77" s="195"/>
      <c r="AZ77" s="195"/>
      <c r="BA77" s="195"/>
      <c r="BB77" s="195"/>
      <c r="BC77" s="195">
        <v>0</v>
      </c>
      <c r="BD77" s="195">
        <v>0</v>
      </c>
      <c r="BE77" s="195">
        <v>0</v>
      </c>
      <c r="BF77" s="195">
        <v>0</v>
      </c>
      <c r="BG77" s="283">
        <v>0</v>
      </c>
      <c r="BH77" s="283"/>
      <c r="BI77" s="283"/>
      <c r="BJ77" s="283"/>
      <c r="BK77" s="283"/>
      <c r="BL77" s="283"/>
      <c r="BM77" s="283"/>
      <c r="BN77" s="283"/>
      <c r="BO77" s="283"/>
      <c r="BP77" s="283"/>
      <c r="BQ77" s="304"/>
      <c r="BR77" s="283"/>
      <c r="BS77" s="283"/>
      <c r="BT77" s="195">
        <v>0</v>
      </c>
      <c r="BU77" s="195">
        <v>0</v>
      </c>
      <c r="BV77" s="195">
        <v>0</v>
      </c>
      <c r="BW77" s="195">
        <v>0</v>
      </c>
      <c r="BX77" s="282">
        <v>0</v>
      </c>
      <c r="BY77" s="283"/>
      <c r="BZ77" s="283"/>
      <c r="CA77" s="283"/>
      <c r="CB77" s="283"/>
      <c r="CC77" s="283"/>
      <c r="CD77" s="283"/>
      <c r="CE77" s="283"/>
      <c r="CF77" s="283"/>
      <c r="CG77" s="283"/>
      <c r="CH77" s="283"/>
      <c r="CI77" s="283"/>
      <c r="CJ77" s="283"/>
      <c r="CK77" s="284"/>
      <c r="CL77" s="284"/>
      <c r="CM77" s="284"/>
      <c r="CN77" s="284"/>
      <c r="CO77" s="156">
        <f t="shared" si="5"/>
        <v>0</v>
      </c>
      <c r="CP77" s="291" t="str">
        <f t="shared" si="6"/>
        <v/>
      </c>
    </row>
    <row r="78" spans="1:94" s="198" customFormat="1" ht="15.5" hidden="1" outlineLevel="2">
      <c r="A78" s="150" t="str">
        <f t="shared" si="7"/>
        <v>in</v>
      </c>
      <c r="B78" s="193"/>
      <c r="C78" s="194" t="s">
        <v>213</v>
      </c>
      <c r="D78" s="195">
        <v>195959624</v>
      </c>
      <c r="E78" s="195">
        <v>75757555</v>
      </c>
      <c r="F78" s="195"/>
      <c r="G78" s="195"/>
      <c r="H78" s="195">
        <v>75757555</v>
      </c>
      <c r="I78" s="195"/>
      <c r="J78" s="195"/>
      <c r="K78" s="195">
        <v>120202069</v>
      </c>
      <c r="L78" s="196"/>
      <c r="M78" s="195"/>
      <c r="N78" s="195"/>
      <c r="O78" s="195"/>
      <c r="P78" s="195"/>
      <c r="Q78" s="195">
        <v>0</v>
      </c>
      <c r="R78" s="195">
        <v>75757555</v>
      </c>
      <c r="S78" s="195">
        <v>120202069</v>
      </c>
      <c r="T78" s="195">
        <v>0</v>
      </c>
      <c r="U78" s="195">
        <v>0</v>
      </c>
      <c r="V78" s="195">
        <v>0</v>
      </c>
      <c r="W78" s="195">
        <v>0</v>
      </c>
      <c r="X78" s="195"/>
      <c r="Y78" s="195"/>
      <c r="Z78" s="195"/>
      <c r="AA78" s="195"/>
      <c r="AB78" s="195"/>
      <c r="AC78" s="195"/>
      <c r="AD78" s="196"/>
      <c r="AE78" s="195"/>
      <c r="AF78" s="195"/>
      <c r="AG78" s="195"/>
      <c r="AH78" s="195"/>
      <c r="AI78" s="195"/>
      <c r="AJ78" s="195"/>
      <c r="AK78" s="195">
        <v>0</v>
      </c>
      <c r="AL78" s="195">
        <v>0</v>
      </c>
      <c r="AM78" s="195">
        <v>0</v>
      </c>
      <c r="AN78" s="195">
        <v>0</v>
      </c>
      <c r="AO78" s="160">
        <v>0</v>
      </c>
      <c r="AP78" s="197">
        <v>0</v>
      </c>
      <c r="AQ78" s="195"/>
      <c r="AR78" s="195"/>
      <c r="AS78" s="195"/>
      <c r="AT78" s="195"/>
      <c r="AU78" s="195"/>
      <c r="AV78" s="195"/>
      <c r="AW78" s="195"/>
      <c r="AX78" s="195"/>
      <c r="AY78" s="195"/>
      <c r="AZ78" s="195"/>
      <c r="BA78" s="195"/>
      <c r="BB78" s="195"/>
      <c r="BC78" s="195">
        <v>0</v>
      </c>
      <c r="BD78" s="195">
        <v>0</v>
      </c>
      <c r="BE78" s="195">
        <v>0</v>
      </c>
      <c r="BF78" s="195">
        <v>0</v>
      </c>
      <c r="BG78" s="283">
        <v>0</v>
      </c>
      <c r="BH78" s="283"/>
      <c r="BI78" s="283"/>
      <c r="BJ78" s="283"/>
      <c r="BK78" s="283"/>
      <c r="BL78" s="283"/>
      <c r="BM78" s="283"/>
      <c r="BN78" s="283"/>
      <c r="BO78" s="283"/>
      <c r="BP78" s="283"/>
      <c r="BQ78" s="304"/>
      <c r="BR78" s="283"/>
      <c r="BS78" s="283"/>
      <c r="BT78" s="195">
        <v>0</v>
      </c>
      <c r="BU78" s="195">
        <v>0</v>
      </c>
      <c r="BV78" s="195">
        <v>0</v>
      </c>
      <c r="BW78" s="195">
        <v>0</v>
      </c>
      <c r="BX78" s="282">
        <v>0</v>
      </c>
      <c r="BY78" s="283"/>
      <c r="BZ78" s="283"/>
      <c r="CA78" s="283"/>
      <c r="CB78" s="283"/>
      <c r="CC78" s="283"/>
      <c r="CD78" s="283"/>
      <c r="CE78" s="283"/>
      <c r="CF78" s="283"/>
      <c r="CG78" s="283"/>
      <c r="CH78" s="283"/>
      <c r="CI78" s="283"/>
      <c r="CJ78" s="283"/>
      <c r="CK78" s="284"/>
      <c r="CL78" s="284"/>
      <c r="CM78" s="284"/>
      <c r="CN78" s="284"/>
      <c r="CO78" s="156">
        <f t="shared" si="5"/>
        <v>0</v>
      </c>
      <c r="CP78" s="291" t="str">
        <f t="shared" si="6"/>
        <v/>
      </c>
    </row>
    <row r="79" spans="1:94" s="198" customFormat="1" ht="15.5" hidden="1" outlineLevel="2">
      <c r="A79" s="150" t="str">
        <f>IF((E79+V79)&lt;&gt;0, "in", "ẩn")</f>
        <v>in</v>
      </c>
      <c r="B79" s="193"/>
      <c r="C79" s="194" t="s">
        <v>214</v>
      </c>
      <c r="D79" s="195">
        <v>0</v>
      </c>
      <c r="E79" s="195">
        <v>12905388659</v>
      </c>
      <c r="F79" s="195"/>
      <c r="G79" s="195"/>
      <c r="H79" s="195">
        <v>12905388659</v>
      </c>
      <c r="I79" s="195"/>
      <c r="J79" s="195"/>
      <c r="K79" s="195">
        <v>23475026995</v>
      </c>
      <c r="L79" s="196"/>
      <c r="M79" s="195"/>
      <c r="N79" s="195">
        <v>-36380415654</v>
      </c>
      <c r="O79" s="195"/>
      <c r="P79" s="195"/>
      <c r="Q79" s="195">
        <v>0</v>
      </c>
      <c r="R79" s="195">
        <v>12905388659</v>
      </c>
      <c r="S79" s="195">
        <v>23475026995</v>
      </c>
      <c r="T79" s="195">
        <v>-36380415654</v>
      </c>
      <c r="U79" s="195">
        <v>0</v>
      </c>
      <c r="V79" s="195">
        <v>0</v>
      </c>
      <c r="W79" s="195">
        <v>0</v>
      </c>
      <c r="X79" s="195"/>
      <c r="Y79" s="195"/>
      <c r="Z79" s="195">
        <v>12071985091</v>
      </c>
      <c r="AA79" s="195"/>
      <c r="AB79" s="195"/>
      <c r="AC79" s="195">
        <v>21557291197</v>
      </c>
      <c r="AD79" s="196"/>
      <c r="AE79" s="195"/>
      <c r="AF79" s="195">
        <v>-33629276288</v>
      </c>
      <c r="AG79" s="195"/>
      <c r="AH79" s="195"/>
      <c r="AI79" s="195">
        <v>0</v>
      </c>
      <c r="AJ79" s="195"/>
      <c r="AK79" s="195">
        <v>12071985091</v>
      </c>
      <c r="AL79" s="195">
        <v>21557291197</v>
      </c>
      <c r="AM79" s="195">
        <v>-33629276288</v>
      </c>
      <c r="AN79" s="195">
        <v>0</v>
      </c>
      <c r="AO79" s="160"/>
      <c r="AP79" s="197">
        <v>11952008730</v>
      </c>
      <c r="AQ79" s="195"/>
      <c r="AR79" s="195"/>
      <c r="AS79" s="195">
        <v>11952008730</v>
      </c>
      <c r="AT79" s="195"/>
      <c r="AU79" s="195"/>
      <c r="AV79" s="195"/>
      <c r="AW79" s="195"/>
      <c r="AX79" s="195"/>
      <c r="AY79" s="195"/>
      <c r="AZ79" s="195"/>
      <c r="BA79" s="195"/>
      <c r="BB79" s="195"/>
      <c r="BC79" s="195">
        <v>11952008730</v>
      </c>
      <c r="BD79" s="195">
        <v>0</v>
      </c>
      <c r="BE79" s="195">
        <v>0</v>
      </c>
      <c r="BF79" s="195">
        <v>0</v>
      </c>
      <c r="BG79" s="283">
        <v>0</v>
      </c>
      <c r="BH79" s="283"/>
      <c r="BI79" s="283"/>
      <c r="BJ79" s="283"/>
      <c r="BK79" s="283"/>
      <c r="BL79" s="283"/>
      <c r="BM79" s="283"/>
      <c r="BN79" s="283"/>
      <c r="BO79" s="283"/>
      <c r="BP79" s="283"/>
      <c r="BQ79" s="304"/>
      <c r="BR79" s="283"/>
      <c r="BS79" s="283"/>
      <c r="BT79" s="195">
        <v>0</v>
      </c>
      <c r="BU79" s="195">
        <v>0</v>
      </c>
      <c r="BV79" s="195">
        <v>0</v>
      </c>
      <c r="BW79" s="195">
        <v>0</v>
      </c>
      <c r="BX79" s="282">
        <v>0</v>
      </c>
      <c r="BY79" s="283"/>
      <c r="BZ79" s="283"/>
      <c r="CA79" s="283"/>
      <c r="CB79" s="283"/>
      <c r="CC79" s="283"/>
      <c r="CD79" s="283"/>
      <c r="CE79" s="283"/>
      <c r="CF79" s="283"/>
      <c r="CG79" s="283"/>
      <c r="CH79" s="283"/>
      <c r="CI79" s="283"/>
      <c r="CJ79" s="283"/>
      <c r="CK79" s="284"/>
      <c r="CL79" s="284"/>
      <c r="CM79" s="284"/>
      <c r="CN79" s="284"/>
      <c r="CO79" s="156">
        <f t="shared" si="5"/>
        <v>-11952008730</v>
      </c>
      <c r="CP79" s="291">
        <f t="shared" si="6"/>
        <v>-1</v>
      </c>
    </row>
    <row r="80" spans="1:94" s="198" customFormat="1" ht="15.5" hidden="1" outlineLevel="2">
      <c r="A80" s="150" t="str">
        <f t="shared" si="7"/>
        <v>ẩn</v>
      </c>
      <c r="B80" s="193"/>
      <c r="C80" s="194" t="s">
        <v>215</v>
      </c>
      <c r="D80" s="195">
        <v>0</v>
      </c>
      <c r="E80" s="195">
        <v>0</v>
      </c>
      <c r="F80" s="195"/>
      <c r="G80" s="195"/>
      <c r="H80" s="195"/>
      <c r="I80" s="195"/>
      <c r="J80" s="195"/>
      <c r="K80" s="195"/>
      <c r="L80" s="196"/>
      <c r="M80" s="195"/>
      <c r="N80" s="195"/>
      <c r="O80" s="195"/>
      <c r="P80" s="195"/>
      <c r="Q80" s="195">
        <v>0</v>
      </c>
      <c r="R80" s="195">
        <v>0</v>
      </c>
      <c r="S80" s="195">
        <v>0</v>
      </c>
      <c r="T80" s="195">
        <v>0</v>
      </c>
      <c r="U80" s="195">
        <v>0</v>
      </c>
      <c r="V80" s="195">
        <v>0</v>
      </c>
      <c r="W80" s="195">
        <v>0</v>
      </c>
      <c r="X80" s="195"/>
      <c r="Y80" s="195"/>
      <c r="Z80" s="195"/>
      <c r="AA80" s="195"/>
      <c r="AB80" s="195"/>
      <c r="AC80" s="195"/>
      <c r="AD80" s="196"/>
      <c r="AE80" s="195"/>
      <c r="AF80" s="195"/>
      <c r="AG80" s="195"/>
      <c r="AH80" s="195"/>
      <c r="AI80" s="195"/>
      <c r="AJ80" s="195"/>
      <c r="AK80" s="195">
        <v>0</v>
      </c>
      <c r="AL80" s="195">
        <v>0</v>
      </c>
      <c r="AM80" s="195">
        <v>0</v>
      </c>
      <c r="AN80" s="195">
        <v>0</v>
      </c>
      <c r="AO80" s="160"/>
      <c r="AP80" s="197">
        <v>0</v>
      </c>
      <c r="AQ80" s="195"/>
      <c r="AR80" s="195"/>
      <c r="AS80" s="195"/>
      <c r="AT80" s="195"/>
      <c r="AU80" s="195"/>
      <c r="AV80" s="195"/>
      <c r="AW80" s="195"/>
      <c r="AX80" s="195"/>
      <c r="AY80" s="195"/>
      <c r="AZ80" s="195"/>
      <c r="BA80" s="195"/>
      <c r="BB80" s="195"/>
      <c r="BC80" s="195">
        <v>0</v>
      </c>
      <c r="BD80" s="195">
        <v>0</v>
      </c>
      <c r="BE80" s="195">
        <v>0</v>
      </c>
      <c r="BF80" s="195">
        <v>0</v>
      </c>
      <c r="BG80" s="283">
        <v>0</v>
      </c>
      <c r="BH80" s="283"/>
      <c r="BI80" s="283"/>
      <c r="BJ80" s="283"/>
      <c r="BK80" s="283"/>
      <c r="BL80" s="283"/>
      <c r="BM80" s="283"/>
      <c r="BN80" s="283"/>
      <c r="BO80" s="283"/>
      <c r="BP80" s="283"/>
      <c r="BQ80" s="304"/>
      <c r="BR80" s="283"/>
      <c r="BS80" s="283"/>
      <c r="BT80" s="195">
        <v>0</v>
      </c>
      <c r="BU80" s="195">
        <v>0</v>
      </c>
      <c r="BV80" s="195">
        <v>0</v>
      </c>
      <c r="BW80" s="195">
        <v>0</v>
      </c>
      <c r="BX80" s="282">
        <v>0</v>
      </c>
      <c r="BY80" s="283"/>
      <c r="BZ80" s="283"/>
      <c r="CA80" s="283"/>
      <c r="CB80" s="283"/>
      <c r="CC80" s="283"/>
      <c r="CD80" s="283"/>
      <c r="CE80" s="283"/>
      <c r="CF80" s="283"/>
      <c r="CG80" s="283"/>
      <c r="CH80" s="283"/>
      <c r="CI80" s="283"/>
      <c r="CJ80" s="283"/>
      <c r="CK80" s="284"/>
      <c r="CL80" s="284"/>
      <c r="CM80" s="284"/>
      <c r="CN80" s="284"/>
      <c r="CO80" s="156">
        <f t="shared" si="5"/>
        <v>0</v>
      </c>
      <c r="CP80" s="291" t="str">
        <f t="shared" si="6"/>
        <v/>
      </c>
    </row>
    <row r="81" spans="1:94" s="198" customFormat="1" ht="15.5" hidden="1" outlineLevel="2">
      <c r="A81" s="150" t="str">
        <f t="shared" si="7"/>
        <v>ẩn</v>
      </c>
      <c r="B81" s="193"/>
      <c r="C81" s="194" t="s">
        <v>216</v>
      </c>
      <c r="D81" s="195"/>
      <c r="E81" s="195"/>
      <c r="F81" s="195"/>
      <c r="G81" s="195"/>
      <c r="H81" s="195"/>
      <c r="I81" s="195"/>
      <c r="J81" s="195"/>
      <c r="K81" s="195"/>
      <c r="L81" s="196"/>
      <c r="M81" s="195"/>
      <c r="N81" s="195"/>
      <c r="O81" s="195"/>
      <c r="P81" s="195"/>
      <c r="Q81" s="195"/>
      <c r="R81" s="195">
        <v>0</v>
      </c>
      <c r="S81" s="195">
        <v>0</v>
      </c>
      <c r="T81" s="195">
        <v>0</v>
      </c>
      <c r="U81" s="195">
        <v>0</v>
      </c>
      <c r="V81" s="195">
        <v>0</v>
      </c>
      <c r="W81" s="195">
        <v>0</v>
      </c>
      <c r="X81" s="195"/>
      <c r="Y81" s="195"/>
      <c r="Z81" s="195"/>
      <c r="AA81" s="195"/>
      <c r="AB81" s="195"/>
      <c r="AC81" s="195"/>
      <c r="AD81" s="196"/>
      <c r="AE81" s="195"/>
      <c r="AF81" s="195"/>
      <c r="AG81" s="195"/>
      <c r="AH81" s="195"/>
      <c r="AI81" s="195"/>
      <c r="AJ81" s="195"/>
      <c r="AK81" s="195">
        <v>0</v>
      </c>
      <c r="AL81" s="195">
        <v>0</v>
      </c>
      <c r="AM81" s="195">
        <v>0</v>
      </c>
      <c r="AN81" s="195">
        <v>0</v>
      </c>
      <c r="AO81" s="160"/>
      <c r="AP81" s="197">
        <v>0</v>
      </c>
      <c r="AQ81" s="195"/>
      <c r="AR81" s="195"/>
      <c r="AS81" s="195"/>
      <c r="AT81" s="195"/>
      <c r="AU81" s="195"/>
      <c r="AV81" s="195"/>
      <c r="AW81" s="195"/>
      <c r="AX81" s="195"/>
      <c r="AY81" s="195"/>
      <c r="AZ81" s="195"/>
      <c r="BA81" s="195"/>
      <c r="BB81" s="195"/>
      <c r="BC81" s="195">
        <v>0</v>
      </c>
      <c r="BD81" s="195">
        <v>0</v>
      </c>
      <c r="BE81" s="195">
        <v>0</v>
      </c>
      <c r="BF81" s="195">
        <v>0</v>
      </c>
      <c r="BG81" s="283">
        <v>0</v>
      </c>
      <c r="BH81" s="283"/>
      <c r="BI81" s="283"/>
      <c r="BJ81" s="283"/>
      <c r="BK81" s="283"/>
      <c r="BL81" s="283"/>
      <c r="BM81" s="283"/>
      <c r="BN81" s="283"/>
      <c r="BO81" s="283"/>
      <c r="BP81" s="283"/>
      <c r="BQ81" s="304"/>
      <c r="BR81" s="283"/>
      <c r="BS81" s="283"/>
      <c r="BT81" s="195">
        <v>0</v>
      </c>
      <c r="BU81" s="195">
        <v>0</v>
      </c>
      <c r="BV81" s="195">
        <v>0</v>
      </c>
      <c r="BW81" s="195">
        <v>0</v>
      </c>
      <c r="BX81" s="282">
        <v>0</v>
      </c>
      <c r="BY81" s="283"/>
      <c r="BZ81" s="283"/>
      <c r="CA81" s="283"/>
      <c r="CB81" s="283"/>
      <c r="CC81" s="283"/>
      <c r="CD81" s="283"/>
      <c r="CE81" s="283"/>
      <c r="CF81" s="283"/>
      <c r="CG81" s="283"/>
      <c r="CH81" s="283"/>
      <c r="CI81" s="283"/>
      <c r="CJ81" s="283"/>
      <c r="CK81" s="284"/>
      <c r="CL81" s="284"/>
      <c r="CM81" s="284"/>
      <c r="CN81" s="284"/>
      <c r="CO81" s="156">
        <f t="shared" si="5"/>
        <v>0</v>
      </c>
      <c r="CP81" s="291" t="str">
        <f t="shared" si="6"/>
        <v/>
      </c>
    </row>
    <row r="82" spans="1:94" s="161" customFormat="1" ht="15.5" hidden="1" outlineLevel="1">
      <c r="A82" s="150" t="str">
        <f t="shared" si="7"/>
        <v>ẩn</v>
      </c>
      <c r="B82" s="150"/>
      <c r="C82" s="157" t="s">
        <v>217</v>
      </c>
      <c r="D82" s="177">
        <v>73336000000</v>
      </c>
      <c r="E82" s="177">
        <v>0</v>
      </c>
      <c r="F82" s="177">
        <v>0</v>
      </c>
      <c r="G82" s="177">
        <v>0</v>
      </c>
      <c r="H82" s="177">
        <v>0</v>
      </c>
      <c r="I82" s="177">
        <v>0</v>
      </c>
      <c r="J82" s="177">
        <v>0</v>
      </c>
      <c r="K82" s="177">
        <v>0</v>
      </c>
      <c r="L82" s="177">
        <v>0</v>
      </c>
      <c r="M82" s="177">
        <v>0</v>
      </c>
      <c r="N82" s="177">
        <v>0</v>
      </c>
      <c r="O82" s="177">
        <v>73336000000</v>
      </c>
      <c r="P82" s="177">
        <v>0</v>
      </c>
      <c r="Q82" s="177">
        <v>0</v>
      </c>
      <c r="R82" s="177">
        <v>0</v>
      </c>
      <c r="S82" s="177">
        <v>0</v>
      </c>
      <c r="T82" s="177">
        <v>0</v>
      </c>
      <c r="U82" s="177">
        <v>73336000000</v>
      </c>
      <c r="V82" s="177">
        <v>0</v>
      </c>
      <c r="W82" s="177">
        <v>0</v>
      </c>
      <c r="X82" s="177">
        <v>0</v>
      </c>
      <c r="Y82" s="177">
        <v>0</v>
      </c>
      <c r="Z82" s="177">
        <v>0</v>
      </c>
      <c r="AA82" s="177">
        <v>0</v>
      </c>
      <c r="AB82" s="177">
        <v>0</v>
      </c>
      <c r="AC82" s="177">
        <v>0</v>
      </c>
      <c r="AD82" s="177">
        <v>0</v>
      </c>
      <c r="AE82" s="177">
        <v>0</v>
      </c>
      <c r="AF82" s="177">
        <v>0</v>
      </c>
      <c r="AG82" s="177">
        <v>0</v>
      </c>
      <c r="AH82" s="177">
        <v>0</v>
      </c>
      <c r="AI82" s="177">
        <v>0</v>
      </c>
      <c r="AJ82" s="177"/>
      <c r="AK82" s="177">
        <v>0</v>
      </c>
      <c r="AL82" s="177">
        <v>0</v>
      </c>
      <c r="AM82" s="177">
        <v>0</v>
      </c>
      <c r="AN82" s="177">
        <v>0</v>
      </c>
      <c r="AO82" s="160">
        <v>0</v>
      </c>
      <c r="AP82" s="177">
        <v>0</v>
      </c>
      <c r="AQ82" s="177">
        <v>0</v>
      </c>
      <c r="AR82" s="177">
        <v>0</v>
      </c>
      <c r="AS82" s="177">
        <v>0</v>
      </c>
      <c r="AT82" s="177"/>
      <c r="AU82" s="177">
        <v>0</v>
      </c>
      <c r="AV82" s="177">
        <v>0</v>
      </c>
      <c r="AW82" s="177">
        <v>0</v>
      </c>
      <c r="AX82" s="177">
        <v>0</v>
      </c>
      <c r="AY82" s="177">
        <v>0</v>
      </c>
      <c r="AZ82" s="177">
        <v>0</v>
      </c>
      <c r="BA82" s="177">
        <v>0</v>
      </c>
      <c r="BB82" s="177">
        <v>0</v>
      </c>
      <c r="BC82" s="177">
        <v>0</v>
      </c>
      <c r="BD82" s="177">
        <v>0</v>
      </c>
      <c r="BE82" s="177">
        <v>0</v>
      </c>
      <c r="BF82" s="177">
        <v>0</v>
      </c>
      <c r="BG82" s="270">
        <v>0</v>
      </c>
      <c r="BH82" s="270">
        <v>0</v>
      </c>
      <c r="BI82" s="270">
        <v>0</v>
      </c>
      <c r="BJ82" s="270">
        <v>0</v>
      </c>
      <c r="BK82" s="270">
        <v>0</v>
      </c>
      <c r="BL82" s="270">
        <v>0</v>
      </c>
      <c r="BM82" s="270">
        <v>0</v>
      </c>
      <c r="BN82" s="270">
        <v>0</v>
      </c>
      <c r="BO82" s="270">
        <v>0</v>
      </c>
      <c r="BP82" s="270">
        <v>0</v>
      </c>
      <c r="BQ82" s="299">
        <v>0</v>
      </c>
      <c r="BR82" s="270">
        <v>0</v>
      </c>
      <c r="BS82" s="270">
        <v>0</v>
      </c>
      <c r="BT82" s="177">
        <v>0</v>
      </c>
      <c r="BU82" s="177">
        <v>0</v>
      </c>
      <c r="BV82" s="177">
        <v>0</v>
      </c>
      <c r="BW82" s="177">
        <v>0</v>
      </c>
      <c r="BX82" s="269">
        <v>0</v>
      </c>
      <c r="BY82" s="270">
        <v>0</v>
      </c>
      <c r="BZ82" s="270"/>
      <c r="CA82" s="270"/>
      <c r="CB82" s="270"/>
      <c r="CC82" s="270"/>
      <c r="CD82" s="270"/>
      <c r="CE82" s="270"/>
      <c r="CF82" s="270"/>
      <c r="CG82" s="270"/>
      <c r="CH82" s="270"/>
      <c r="CI82" s="270"/>
      <c r="CJ82" s="270"/>
      <c r="CK82" s="271">
        <v>0</v>
      </c>
      <c r="CL82" s="271"/>
      <c r="CM82" s="271"/>
      <c r="CN82" s="271"/>
      <c r="CO82" s="156">
        <f t="shared" si="5"/>
        <v>0</v>
      </c>
      <c r="CP82" s="291" t="str">
        <f t="shared" si="6"/>
        <v/>
      </c>
    </row>
    <row r="83" spans="1:94" s="156" customFormat="1" ht="15.5" collapsed="1">
      <c r="A83" s="150" t="str">
        <f t="shared" si="7"/>
        <v>in</v>
      </c>
      <c r="B83" s="151"/>
      <c r="C83" s="152" t="s">
        <v>218</v>
      </c>
      <c r="D83" s="176">
        <v>0</v>
      </c>
      <c r="E83" s="176">
        <v>0</v>
      </c>
      <c r="F83" s="176"/>
      <c r="G83" s="176"/>
      <c r="H83" s="176"/>
      <c r="I83" s="176"/>
      <c r="J83" s="176"/>
      <c r="K83" s="176"/>
      <c r="L83" s="200"/>
      <c r="M83" s="176"/>
      <c r="N83" s="176"/>
      <c r="O83" s="176"/>
      <c r="P83" s="176"/>
      <c r="Q83" s="176"/>
      <c r="R83" s="176">
        <v>0</v>
      </c>
      <c r="S83" s="176">
        <v>0</v>
      </c>
      <c r="T83" s="176">
        <v>0</v>
      </c>
      <c r="U83" s="176">
        <v>0</v>
      </c>
      <c r="V83" s="176">
        <v>211204937</v>
      </c>
      <c r="W83" s="176">
        <v>211204937</v>
      </c>
      <c r="X83" s="176">
        <v>11204937</v>
      </c>
      <c r="Y83" s="176">
        <v>0</v>
      </c>
      <c r="Z83" s="176">
        <v>0</v>
      </c>
      <c r="AA83" s="176">
        <v>0</v>
      </c>
      <c r="AB83" s="176">
        <v>0</v>
      </c>
      <c r="AC83" s="176">
        <v>200000000</v>
      </c>
      <c r="AD83" s="176">
        <v>0</v>
      </c>
      <c r="AE83" s="176">
        <v>0</v>
      </c>
      <c r="AF83" s="176">
        <v>0</v>
      </c>
      <c r="AG83" s="176">
        <v>0</v>
      </c>
      <c r="AH83" s="176">
        <v>0</v>
      </c>
      <c r="AI83" s="176">
        <v>0</v>
      </c>
      <c r="AJ83" s="176"/>
      <c r="AK83" s="176">
        <v>11204937</v>
      </c>
      <c r="AL83" s="176">
        <v>200000000</v>
      </c>
      <c r="AM83" s="176">
        <v>0</v>
      </c>
      <c r="AN83" s="176">
        <v>0</v>
      </c>
      <c r="AO83" s="160"/>
      <c r="AP83" s="197">
        <v>31206604</v>
      </c>
      <c r="AQ83" s="176">
        <v>10101669</v>
      </c>
      <c r="AR83" s="176">
        <v>856602</v>
      </c>
      <c r="AS83" s="176">
        <v>2248333</v>
      </c>
      <c r="AT83" s="176">
        <v>0</v>
      </c>
      <c r="AU83" s="176">
        <v>6000000</v>
      </c>
      <c r="AV83" s="176">
        <v>0</v>
      </c>
      <c r="AW83" s="176">
        <v>12000000</v>
      </c>
      <c r="AX83" s="176">
        <v>0</v>
      </c>
      <c r="AY83" s="176">
        <v>0</v>
      </c>
      <c r="AZ83" s="176">
        <v>0</v>
      </c>
      <c r="BA83" s="176">
        <v>0</v>
      </c>
      <c r="BB83" s="176">
        <v>0</v>
      </c>
      <c r="BC83" s="176">
        <v>13206604</v>
      </c>
      <c r="BD83" s="176">
        <v>6000000</v>
      </c>
      <c r="BE83" s="176">
        <v>12000000</v>
      </c>
      <c r="BF83" s="176">
        <v>0</v>
      </c>
      <c r="BG83" s="273">
        <v>0</v>
      </c>
      <c r="BH83" s="273">
        <v>0</v>
      </c>
      <c r="BI83" s="273">
        <v>0</v>
      </c>
      <c r="BJ83" s="273">
        <v>0</v>
      </c>
      <c r="BK83" s="273">
        <v>0</v>
      </c>
      <c r="BL83" s="273">
        <v>0</v>
      </c>
      <c r="BM83" s="273">
        <v>0</v>
      </c>
      <c r="BN83" s="273">
        <v>0</v>
      </c>
      <c r="BO83" s="273">
        <v>0</v>
      </c>
      <c r="BP83" s="273">
        <v>0</v>
      </c>
      <c r="BQ83" s="298">
        <v>0</v>
      </c>
      <c r="BR83" s="273">
        <v>0</v>
      </c>
      <c r="BS83" s="273">
        <v>0</v>
      </c>
      <c r="BT83" s="176">
        <v>0</v>
      </c>
      <c r="BU83" s="176">
        <v>0</v>
      </c>
      <c r="BV83" s="176">
        <v>0</v>
      </c>
      <c r="BW83" s="176">
        <v>0</v>
      </c>
      <c r="BX83" s="272">
        <v>0</v>
      </c>
      <c r="BY83" s="273">
        <v>0</v>
      </c>
      <c r="BZ83" s="273"/>
      <c r="CA83" s="273"/>
      <c r="CB83" s="273"/>
      <c r="CC83" s="273"/>
      <c r="CD83" s="273"/>
      <c r="CE83" s="273"/>
      <c r="CF83" s="273"/>
      <c r="CG83" s="273"/>
      <c r="CH83" s="273"/>
      <c r="CI83" s="273"/>
      <c r="CJ83" s="273"/>
      <c r="CK83" s="274">
        <v>0</v>
      </c>
      <c r="CL83" s="274"/>
      <c r="CM83" s="274"/>
      <c r="CN83" s="274"/>
      <c r="CO83" s="156">
        <f t="shared" si="5"/>
        <v>-31206604</v>
      </c>
      <c r="CP83" s="291">
        <f t="shared" si="6"/>
        <v>-1</v>
      </c>
    </row>
    <row r="84" spans="1:94" s="217" customFormat="1" ht="15.5">
      <c r="A84" s="214" t="str">
        <f t="shared" si="7"/>
        <v>in</v>
      </c>
      <c r="B84" s="215"/>
      <c r="C84" s="216" t="s">
        <v>6</v>
      </c>
      <c r="D84" s="176">
        <v>27478898468</v>
      </c>
      <c r="E84" s="176">
        <v>8575258834</v>
      </c>
      <c r="F84" s="176">
        <v>2178141707</v>
      </c>
      <c r="G84" s="176">
        <v>2077787709</v>
      </c>
      <c r="H84" s="176">
        <v>2344941717</v>
      </c>
      <c r="I84" s="176">
        <v>1974387701</v>
      </c>
      <c r="J84" s="176">
        <v>2023326994</v>
      </c>
      <c r="K84" s="176">
        <v>2494250298</v>
      </c>
      <c r="L84" s="176">
        <v>2064843899</v>
      </c>
      <c r="M84" s="176">
        <v>2058769462</v>
      </c>
      <c r="N84" s="176">
        <v>1855334066</v>
      </c>
      <c r="O84" s="176">
        <v>1388669391</v>
      </c>
      <c r="P84" s="176">
        <v>4355412022</v>
      </c>
      <c r="Q84" s="176">
        <v>2663033502</v>
      </c>
      <c r="R84" s="176">
        <v>6600871133</v>
      </c>
      <c r="S84" s="176">
        <v>6491964993</v>
      </c>
      <c r="T84" s="176">
        <v>5978947427</v>
      </c>
      <c r="U84" s="176">
        <v>8407114915</v>
      </c>
      <c r="V84" s="176">
        <v>20191939256.727276</v>
      </c>
      <c r="W84" s="176">
        <v>20191939256.727276</v>
      </c>
      <c r="X84" s="176">
        <v>1487074320.2592592</v>
      </c>
      <c r="Y84" s="176">
        <v>1493627178.2592592</v>
      </c>
      <c r="Z84" s="176">
        <v>1774851423.2592592</v>
      </c>
      <c r="AA84" s="176">
        <v>1474173362.7777777</v>
      </c>
      <c r="AB84" s="176">
        <v>1526468249.6666667</v>
      </c>
      <c r="AC84" s="176">
        <v>2308699187.9865322</v>
      </c>
      <c r="AD84" s="176">
        <v>1341447704.0370369</v>
      </c>
      <c r="AE84" s="176">
        <v>1311222087.2592592</v>
      </c>
      <c r="AF84" s="176">
        <v>1865664605.7777777</v>
      </c>
      <c r="AG84" s="176">
        <v>1421622087.2592592</v>
      </c>
      <c r="AH84" s="176">
        <v>1431881343.5185184</v>
      </c>
      <c r="AI84" s="176">
        <v>2755207706.666667</v>
      </c>
      <c r="AJ84" s="176"/>
      <c r="AK84" s="176">
        <v>4755552921.7777777</v>
      </c>
      <c r="AL84" s="176">
        <v>5309340800.4309769</v>
      </c>
      <c r="AM84" s="176">
        <v>4518334397.0740738</v>
      </c>
      <c r="AN84" s="176">
        <v>5608711137.4444447</v>
      </c>
      <c r="AO84" s="160">
        <v>0.73481618196018283</v>
      </c>
      <c r="AP84" s="176">
        <v>20658558961</v>
      </c>
      <c r="AQ84" s="176">
        <v>1423642801</v>
      </c>
      <c r="AR84" s="176">
        <v>1255579031</v>
      </c>
      <c r="AS84" s="176">
        <v>1612748999</v>
      </c>
      <c r="AT84" s="176">
        <v>1331348023</v>
      </c>
      <c r="AU84" s="176">
        <v>1195149402</v>
      </c>
      <c r="AV84" s="176">
        <v>1845284034</v>
      </c>
      <c r="AW84" s="176">
        <v>1211812013</v>
      </c>
      <c r="AX84" s="176">
        <v>1213785902</v>
      </c>
      <c r="AY84" s="176">
        <v>1587165510</v>
      </c>
      <c r="AZ84" s="176">
        <v>1532311532</v>
      </c>
      <c r="BA84" s="176">
        <v>4471780377</v>
      </c>
      <c r="BB84" s="176">
        <v>1977951337</v>
      </c>
      <c r="BC84" s="176">
        <v>4291970831</v>
      </c>
      <c r="BD84" s="176">
        <v>4371781459</v>
      </c>
      <c r="BE84" s="176">
        <v>4012763425</v>
      </c>
      <c r="BF84" s="176">
        <v>7982043246</v>
      </c>
      <c r="BG84" s="286">
        <v>23775488383</v>
      </c>
      <c r="BH84" s="286">
        <v>1309763830</v>
      </c>
      <c r="BI84" s="286">
        <v>1432189163</v>
      </c>
      <c r="BJ84" s="286">
        <v>1604975277</v>
      </c>
      <c r="BK84" s="286">
        <v>1429038467</v>
      </c>
      <c r="BL84" s="286">
        <v>2073491748</v>
      </c>
      <c r="BM84" s="286">
        <v>2973625065</v>
      </c>
      <c r="BN84" s="286">
        <v>1581382139</v>
      </c>
      <c r="BO84" s="286">
        <v>1347582139</v>
      </c>
      <c r="BP84" s="286">
        <v>1627122139</v>
      </c>
      <c r="BQ84" s="298">
        <v>1462165472</v>
      </c>
      <c r="BR84" s="286">
        <v>4434880472</v>
      </c>
      <c r="BS84" s="286">
        <v>2499272472</v>
      </c>
      <c r="BT84" s="176">
        <v>4346928270</v>
      </c>
      <c r="BU84" s="176">
        <v>6476155280</v>
      </c>
      <c r="BV84" s="176">
        <v>4556086417</v>
      </c>
      <c r="BW84" s="176">
        <v>8396318416</v>
      </c>
      <c r="BX84" s="285">
        <v>1264192229</v>
      </c>
      <c r="BY84" s="286">
        <v>1264192229</v>
      </c>
      <c r="BZ84" s="286"/>
      <c r="CA84" s="286"/>
      <c r="CB84" s="286"/>
      <c r="CC84" s="286"/>
      <c r="CD84" s="286"/>
      <c r="CE84" s="286"/>
      <c r="CF84" s="286"/>
      <c r="CG84" s="286"/>
      <c r="CH84" s="286"/>
      <c r="CI84" s="286"/>
      <c r="CJ84" s="286"/>
      <c r="CK84" s="287">
        <v>1264192229</v>
      </c>
      <c r="CL84" s="287"/>
      <c r="CM84" s="287"/>
      <c r="CN84" s="287"/>
      <c r="CO84" s="156">
        <f t="shared" si="5"/>
        <v>3116929422</v>
      </c>
      <c r="CP84" s="291">
        <f t="shared" si="6"/>
        <v>0.15087835641799877</v>
      </c>
    </row>
    <row r="85" spans="1:94" s="161" customFormat="1" ht="15.5" hidden="1" outlineLevel="1" collapsed="1">
      <c r="A85" s="150" t="str">
        <f t="shared" si="7"/>
        <v>in</v>
      </c>
      <c r="B85" s="150"/>
      <c r="C85" s="210" t="s">
        <v>8</v>
      </c>
      <c r="D85" s="177">
        <v>10666551154</v>
      </c>
      <c r="E85" s="177">
        <v>3625128026</v>
      </c>
      <c r="F85" s="177">
        <v>911788650</v>
      </c>
      <c r="G85" s="177">
        <v>958704861</v>
      </c>
      <c r="H85" s="177">
        <v>950802765</v>
      </c>
      <c r="I85" s="177">
        <v>803831750</v>
      </c>
      <c r="J85" s="177">
        <v>765258550</v>
      </c>
      <c r="K85" s="177">
        <v>808083850</v>
      </c>
      <c r="L85" s="177">
        <v>789059150</v>
      </c>
      <c r="M85" s="177">
        <v>815536750</v>
      </c>
      <c r="N85" s="177">
        <v>771099628</v>
      </c>
      <c r="O85" s="177">
        <v>893400204</v>
      </c>
      <c r="P85" s="177">
        <v>781678946</v>
      </c>
      <c r="Q85" s="177">
        <v>1417306050</v>
      </c>
      <c r="R85" s="177">
        <v>2821296276</v>
      </c>
      <c r="S85" s="177">
        <v>2377174150</v>
      </c>
      <c r="T85" s="177">
        <v>2375695528</v>
      </c>
      <c r="U85" s="177">
        <v>3092385200</v>
      </c>
      <c r="V85" s="177">
        <v>10175992092</v>
      </c>
      <c r="W85" s="177">
        <v>10175992092</v>
      </c>
      <c r="X85" s="177">
        <v>783233742</v>
      </c>
      <c r="Y85" s="177">
        <v>695470600</v>
      </c>
      <c r="Z85" s="177">
        <v>740477600</v>
      </c>
      <c r="AA85" s="177">
        <v>842194350</v>
      </c>
      <c r="AB85" s="177">
        <v>804468350</v>
      </c>
      <c r="AC85" s="177">
        <v>1063168350</v>
      </c>
      <c r="AD85" s="177">
        <v>729620350</v>
      </c>
      <c r="AE85" s="177">
        <v>725320350</v>
      </c>
      <c r="AF85" s="177">
        <v>798720350</v>
      </c>
      <c r="AG85" s="177">
        <v>744220350</v>
      </c>
      <c r="AH85" s="177">
        <v>727320350</v>
      </c>
      <c r="AI85" s="177">
        <v>1521777350</v>
      </c>
      <c r="AJ85" s="177"/>
      <c r="AK85" s="177">
        <v>2219181942</v>
      </c>
      <c r="AL85" s="177">
        <v>2709831050</v>
      </c>
      <c r="AM85" s="177">
        <v>2253661050</v>
      </c>
      <c r="AN85" s="177">
        <v>2993318050</v>
      </c>
      <c r="AO85" s="160">
        <v>0.95400958989297691</v>
      </c>
      <c r="AP85" s="177">
        <v>8912691648</v>
      </c>
      <c r="AQ85" s="177">
        <v>794942292</v>
      </c>
      <c r="AR85" s="177">
        <v>703470600</v>
      </c>
      <c r="AS85" s="177">
        <v>731395053</v>
      </c>
      <c r="AT85" s="177">
        <v>747176000</v>
      </c>
      <c r="AU85" s="177">
        <v>702180250</v>
      </c>
      <c r="AV85" s="177">
        <v>647241600</v>
      </c>
      <c r="AW85" s="177">
        <v>635611200</v>
      </c>
      <c r="AX85" s="177">
        <v>673241600</v>
      </c>
      <c r="AY85" s="177">
        <v>787223650</v>
      </c>
      <c r="AZ85" s="177">
        <v>639327991</v>
      </c>
      <c r="BA85" s="177">
        <v>625318400</v>
      </c>
      <c r="BB85" s="177">
        <v>1225563012</v>
      </c>
      <c r="BC85" s="177">
        <v>2229807945</v>
      </c>
      <c r="BD85" s="177">
        <v>2096597850</v>
      </c>
      <c r="BE85" s="177">
        <v>2096076450</v>
      </c>
      <c r="BF85" s="177">
        <v>2490209403</v>
      </c>
      <c r="BG85" s="270">
        <v>9227278614</v>
      </c>
      <c r="BH85" s="270">
        <v>656209827</v>
      </c>
      <c r="BI85" s="270">
        <v>681487900</v>
      </c>
      <c r="BJ85" s="270">
        <v>704746287</v>
      </c>
      <c r="BK85" s="270">
        <v>710186400</v>
      </c>
      <c r="BL85" s="270">
        <v>699186400</v>
      </c>
      <c r="BM85" s="270">
        <v>864686400</v>
      </c>
      <c r="BN85" s="270">
        <v>699186400</v>
      </c>
      <c r="BO85" s="270">
        <v>699686400</v>
      </c>
      <c r="BP85" s="270">
        <v>732686400</v>
      </c>
      <c r="BQ85" s="299">
        <v>706986400</v>
      </c>
      <c r="BR85" s="270">
        <v>699186400</v>
      </c>
      <c r="BS85" s="270">
        <v>1373043400</v>
      </c>
      <c r="BT85" s="177">
        <v>2042444014</v>
      </c>
      <c r="BU85" s="177">
        <v>2274059200</v>
      </c>
      <c r="BV85" s="177">
        <v>2131559200</v>
      </c>
      <c r="BW85" s="177">
        <v>2779216200</v>
      </c>
      <c r="BX85" s="269">
        <v>654709827</v>
      </c>
      <c r="BY85" s="270">
        <v>654709827</v>
      </c>
      <c r="BZ85" s="270"/>
      <c r="CA85" s="270"/>
      <c r="CB85" s="270"/>
      <c r="CC85" s="270"/>
      <c r="CD85" s="270"/>
      <c r="CE85" s="270"/>
      <c r="CF85" s="270"/>
      <c r="CG85" s="270"/>
      <c r="CH85" s="270"/>
      <c r="CI85" s="270"/>
      <c r="CJ85" s="270"/>
      <c r="CK85" s="271">
        <v>654709827</v>
      </c>
      <c r="CL85" s="271"/>
      <c r="CM85" s="271"/>
      <c r="CN85" s="271"/>
      <c r="CO85" s="156">
        <f t="shared" si="5"/>
        <v>314586966</v>
      </c>
      <c r="CP85" s="291">
        <f t="shared" si="6"/>
        <v>3.5296516296577256E-2</v>
      </c>
    </row>
    <row r="86" spans="1:94" s="161" customFormat="1" ht="15.5" hidden="1" outlineLevel="1" collapsed="1">
      <c r="A86" s="150" t="str">
        <f t="shared" si="7"/>
        <v>in</v>
      </c>
      <c r="B86" s="150"/>
      <c r="C86" s="210" t="s">
        <v>219</v>
      </c>
      <c r="D86" s="177">
        <v>1181356444</v>
      </c>
      <c r="E86" s="177">
        <v>368200000</v>
      </c>
      <c r="F86" s="177">
        <v>91025000</v>
      </c>
      <c r="G86" s="177">
        <v>93725000</v>
      </c>
      <c r="H86" s="177">
        <v>93725000</v>
      </c>
      <c r="I86" s="177">
        <v>89725000</v>
      </c>
      <c r="J86" s="177">
        <v>94169444</v>
      </c>
      <c r="K86" s="177">
        <v>89725000</v>
      </c>
      <c r="L86" s="177">
        <v>94812000</v>
      </c>
      <c r="M86" s="177">
        <v>134725000</v>
      </c>
      <c r="N86" s="177">
        <v>102725000</v>
      </c>
      <c r="O86" s="177">
        <v>90000000</v>
      </c>
      <c r="P86" s="177">
        <v>87500000</v>
      </c>
      <c r="Q86" s="177">
        <v>119500000</v>
      </c>
      <c r="R86" s="177">
        <v>278475000</v>
      </c>
      <c r="S86" s="177">
        <v>273619444</v>
      </c>
      <c r="T86" s="177">
        <v>332262000</v>
      </c>
      <c r="U86" s="177">
        <v>297000000</v>
      </c>
      <c r="V86" s="177">
        <v>1123500000</v>
      </c>
      <c r="W86" s="177">
        <v>1123500000</v>
      </c>
      <c r="X86" s="177">
        <v>87500000</v>
      </c>
      <c r="Y86" s="177">
        <v>90000000</v>
      </c>
      <c r="Z86" s="177">
        <v>87500000</v>
      </c>
      <c r="AA86" s="177">
        <v>103500000</v>
      </c>
      <c r="AB86" s="177">
        <v>92000000</v>
      </c>
      <c r="AC86" s="177">
        <v>87500000</v>
      </c>
      <c r="AD86" s="177">
        <v>87500000</v>
      </c>
      <c r="AE86" s="177">
        <v>87500000</v>
      </c>
      <c r="AF86" s="177">
        <v>103500000</v>
      </c>
      <c r="AG86" s="177">
        <v>90000000</v>
      </c>
      <c r="AH86" s="177">
        <v>87500000</v>
      </c>
      <c r="AI86" s="177">
        <v>119500000</v>
      </c>
      <c r="AJ86" s="177"/>
      <c r="AK86" s="177">
        <v>265000000</v>
      </c>
      <c r="AL86" s="177">
        <v>283000000</v>
      </c>
      <c r="AM86" s="177">
        <v>278500000</v>
      </c>
      <c r="AN86" s="177">
        <v>297000000</v>
      </c>
      <c r="AO86" s="160">
        <v>0.95102541295317977</v>
      </c>
      <c r="AP86" s="177">
        <v>1300253985</v>
      </c>
      <c r="AQ86" s="177">
        <v>87500000</v>
      </c>
      <c r="AR86" s="177">
        <v>90000000</v>
      </c>
      <c r="AS86" s="177">
        <v>96642900</v>
      </c>
      <c r="AT86" s="177">
        <v>115500000</v>
      </c>
      <c r="AU86" s="177">
        <v>99500000</v>
      </c>
      <c r="AV86" s="177">
        <v>109722200</v>
      </c>
      <c r="AW86" s="177">
        <v>102500000</v>
      </c>
      <c r="AX86" s="177">
        <v>131277777</v>
      </c>
      <c r="AY86" s="177">
        <v>115277777</v>
      </c>
      <c r="AZ86" s="177">
        <v>117777777</v>
      </c>
      <c r="BA86" s="177">
        <v>115277777</v>
      </c>
      <c r="BB86" s="177">
        <v>119277777</v>
      </c>
      <c r="BC86" s="177">
        <v>274142900</v>
      </c>
      <c r="BD86" s="177">
        <v>324722200</v>
      </c>
      <c r="BE86" s="177">
        <v>349055554</v>
      </c>
      <c r="BF86" s="177">
        <v>352333331</v>
      </c>
      <c r="BG86" s="270">
        <v>1393333324</v>
      </c>
      <c r="BH86" s="270">
        <v>117777777</v>
      </c>
      <c r="BI86" s="270">
        <v>114777777</v>
      </c>
      <c r="BJ86" s="270">
        <v>113777777</v>
      </c>
      <c r="BK86" s="270">
        <v>117777777</v>
      </c>
      <c r="BL86" s="270">
        <v>123777777</v>
      </c>
      <c r="BM86" s="270">
        <v>113777777</v>
      </c>
      <c r="BN86" s="270">
        <v>113777777</v>
      </c>
      <c r="BO86" s="270">
        <v>117777777</v>
      </c>
      <c r="BP86" s="270">
        <v>113777777</v>
      </c>
      <c r="BQ86" s="299">
        <v>114777777</v>
      </c>
      <c r="BR86" s="270">
        <v>113777777</v>
      </c>
      <c r="BS86" s="270">
        <v>117777777</v>
      </c>
      <c r="BT86" s="177">
        <v>346333331</v>
      </c>
      <c r="BU86" s="177">
        <v>355333331</v>
      </c>
      <c r="BV86" s="177">
        <v>345333331</v>
      </c>
      <c r="BW86" s="177">
        <v>346333331</v>
      </c>
      <c r="BX86" s="269">
        <v>117777777</v>
      </c>
      <c r="BY86" s="270">
        <v>117777777</v>
      </c>
      <c r="BZ86" s="270"/>
      <c r="CA86" s="270"/>
      <c r="CB86" s="270"/>
      <c r="CC86" s="270"/>
      <c r="CD86" s="270"/>
      <c r="CE86" s="270"/>
      <c r="CF86" s="270"/>
      <c r="CG86" s="270"/>
      <c r="CH86" s="270"/>
      <c r="CI86" s="270"/>
      <c r="CJ86" s="270"/>
      <c r="CK86" s="271">
        <v>117777777</v>
      </c>
      <c r="CL86" s="271"/>
      <c r="CM86" s="271"/>
      <c r="CN86" s="271"/>
      <c r="CO86" s="156">
        <f t="shared" si="5"/>
        <v>93079339</v>
      </c>
      <c r="CP86" s="291">
        <f t="shared" si="6"/>
        <v>7.1585505657958043E-2</v>
      </c>
    </row>
    <row r="87" spans="1:94" s="161" customFormat="1" ht="15.5" hidden="1" outlineLevel="1" collapsed="1">
      <c r="A87" s="150" t="str">
        <f t="shared" si="7"/>
        <v>in</v>
      </c>
      <c r="B87" s="150"/>
      <c r="C87" s="210" t="s">
        <v>45</v>
      </c>
      <c r="D87" s="177">
        <v>1118421124</v>
      </c>
      <c r="E87" s="177">
        <v>457239104</v>
      </c>
      <c r="F87" s="177">
        <v>113959211</v>
      </c>
      <c r="G87" s="177">
        <v>113879661</v>
      </c>
      <c r="H87" s="177">
        <v>114700116</v>
      </c>
      <c r="I87" s="177">
        <v>114700116</v>
      </c>
      <c r="J87" s="177">
        <v>115215702</v>
      </c>
      <c r="K87" s="177">
        <v>113266707</v>
      </c>
      <c r="L87" s="177">
        <v>113266707</v>
      </c>
      <c r="M87" s="177">
        <v>113266707</v>
      </c>
      <c r="N87" s="177">
        <v>113266654</v>
      </c>
      <c r="O87" s="177">
        <v>65327526</v>
      </c>
      <c r="P87" s="177">
        <v>16256874</v>
      </c>
      <c r="Q87" s="177">
        <v>11315143</v>
      </c>
      <c r="R87" s="177">
        <v>342538988</v>
      </c>
      <c r="S87" s="177">
        <v>343182525</v>
      </c>
      <c r="T87" s="177">
        <v>339800068</v>
      </c>
      <c r="U87" s="177">
        <v>92899543</v>
      </c>
      <c r="V87" s="177">
        <v>67013800</v>
      </c>
      <c r="W87" s="177">
        <v>67013800</v>
      </c>
      <c r="X87" s="177">
        <v>7208725</v>
      </c>
      <c r="Y87" s="177">
        <v>7208725</v>
      </c>
      <c r="Z87" s="177">
        <v>7208725</v>
      </c>
      <c r="AA87" s="177">
        <v>5478450</v>
      </c>
      <c r="AB87" s="177">
        <v>5478448</v>
      </c>
      <c r="AC87" s="177">
        <v>5435521</v>
      </c>
      <c r="AD87" s="177">
        <v>5435532</v>
      </c>
      <c r="AE87" s="177">
        <v>4787693</v>
      </c>
      <c r="AF87" s="177">
        <v>4787693</v>
      </c>
      <c r="AG87" s="177">
        <v>4787693</v>
      </c>
      <c r="AH87" s="177">
        <v>4787690</v>
      </c>
      <c r="AI87" s="177">
        <v>4408905</v>
      </c>
      <c r="AJ87" s="177"/>
      <c r="AK87" s="177">
        <v>21626175</v>
      </c>
      <c r="AL87" s="177">
        <v>16392419</v>
      </c>
      <c r="AM87" s="177">
        <v>15010918</v>
      </c>
      <c r="AN87" s="177">
        <v>13984288</v>
      </c>
      <c r="AO87" s="160">
        <v>5.9918217352983402E-2</v>
      </c>
      <c r="AP87" s="177">
        <v>100484186</v>
      </c>
      <c r="AQ87" s="177">
        <v>7208725</v>
      </c>
      <c r="AR87" s="177">
        <v>7208725</v>
      </c>
      <c r="AS87" s="177">
        <v>8116225</v>
      </c>
      <c r="AT87" s="177">
        <v>6385950</v>
      </c>
      <c r="AU87" s="177">
        <v>6385948</v>
      </c>
      <c r="AV87" s="177">
        <v>5787465</v>
      </c>
      <c r="AW87" s="177">
        <v>19979916</v>
      </c>
      <c r="AX87" s="177">
        <v>7457747</v>
      </c>
      <c r="AY87" s="177">
        <v>6542747</v>
      </c>
      <c r="AZ87" s="177">
        <v>13252747</v>
      </c>
      <c r="BA87" s="177">
        <v>5139634</v>
      </c>
      <c r="BB87" s="177">
        <v>7018357</v>
      </c>
      <c r="BC87" s="177">
        <v>22533675</v>
      </c>
      <c r="BD87" s="177">
        <v>18559363</v>
      </c>
      <c r="BE87" s="177">
        <v>33980410</v>
      </c>
      <c r="BF87" s="177">
        <v>25410738</v>
      </c>
      <c r="BG87" s="270">
        <v>58169236</v>
      </c>
      <c r="BH87" s="270">
        <v>5615260</v>
      </c>
      <c r="BI87" s="270">
        <v>5615247</v>
      </c>
      <c r="BJ87" s="270">
        <v>5615247</v>
      </c>
      <c r="BK87" s="270">
        <v>5615247</v>
      </c>
      <c r="BL87" s="270">
        <v>4495802</v>
      </c>
      <c r="BM87" s="270">
        <v>4458919</v>
      </c>
      <c r="BN87" s="270">
        <v>4458919</v>
      </c>
      <c r="BO87" s="270">
        <v>4458919</v>
      </c>
      <c r="BP87" s="270">
        <v>4458919</v>
      </c>
      <c r="BQ87" s="299">
        <v>4458919</v>
      </c>
      <c r="BR87" s="270">
        <v>4458919</v>
      </c>
      <c r="BS87" s="270">
        <v>4458919</v>
      </c>
      <c r="BT87" s="177">
        <v>16845754</v>
      </c>
      <c r="BU87" s="177">
        <v>14569968</v>
      </c>
      <c r="BV87" s="177">
        <v>13376757</v>
      </c>
      <c r="BW87" s="177">
        <v>13376757</v>
      </c>
      <c r="BX87" s="269">
        <v>5615260</v>
      </c>
      <c r="BY87" s="270">
        <v>5615260</v>
      </c>
      <c r="BZ87" s="270"/>
      <c r="CA87" s="270"/>
      <c r="CB87" s="270"/>
      <c r="CC87" s="270"/>
      <c r="CD87" s="270"/>
      <c r="CE87" s="270"/>
      <c r="CF87" s="270"/>
      <c r="CG87" s="270"/>
      <c r="CH87" s="270"/>
      <c r="CI87" s="270"/>
      <c r="CJ87" s="270"/>
      <c r="CK87" s="271">
        <v>5615260</v>
      </c>
      <c r="CL87" s="271"/>
      <c r="CM87" s="271"/>
      <c r="CN87" s="271"/>
      <c r="CO87" s="156">
        <f t="shared" si="5"/>
        <v>-42314950</v>
      </c>
      <c r="CP87" s="291">
        <f t="shared" si="6"/>
        <v>-0.42111054171250389</v>
      </c>
    </row>
    <row r="88" spans="1:94" s="161" customFormat="1" ht="15.5" hidden="1" outlineLevel="1" collapsed="1">
      <c r="A88" s="150" t="str">
        <f t="shared" si="7"/>
        <v>in</v>
      </c>
      <c r="B88" s="150"/>
      <c r="C88" s="157" t="s">
        <v>50</v>
      </c>
      <c r="D88" s="177">
        <v>175574583</v>
      </c>
      <c r="E88" s="177">
        <v>70253434</v>
      </c>
      <c r="F88" s="177">
        <v>22258465</v>
      </c>
      <c r="G88" s="177">
        <v>21303515</v>
      </c>
      <c r="H88" s="177">
        <v>13345727</v>
      </c>
      <c r="I88" s="177">
        <v>13345727</v>
      </c>
      <c r="J88" s="177">
        <v>13345727</v>
      </c>
      <c r="K88" s="177">
        <v>13345727</v>
      </c>
      <c r="L88" s="177">
        <v>13345727</v>
      </c>
      <c r="M88" s="177">
        <v>13345727</v>
      </c>
      <c r="N88" s="177">
        <v>13345727</v>
      </c>
      <c r="O88" s="177">
        <v>13345727</v>
      </c>
      <c r="P88" s="177">
        <v>12689060</v>
      </c>
      <c r="Q88" s="177">
        <v>12557727</v>
      </c>
      <c r="R88" s="177">
        <v>56907707</v>
      </c>
      <c r="S88" s="177">
        <v>40037181</v>
      </c>
      <c r="T88" s="177">
        <v>40037181</v>
      </c>
      <c r="U88" s="177">
        <v>38592514</v>
      </c>
      <c r="V88" s="177">
        <v>129092724</v>
      </c>
      <c r="W88" s="177">
        <v>129092724</v>
      </c>
      <c r="X88" s="177">
        <v>10757727</v>
      </c>
      <c r="Y88" s="177">
        <v>10757727</v>
      </c>
      <c r="Z88" s="177">
        <v>10757727</v>
      </c>
      <c r="AA88" s="177">
        <v>10757727</v>
      </c>
      <c r="AB88" s="177">
        <v>10757727</v>
      </c>
      <c r="AC88" s="177">
        <v>10757727</v>
      </c>
      <c r="AD88" s="177">
        <v>10757727</v>
      </c>
      <c r="AE88" s="177">
        <v>10757727</v>
      </c>
      <c r="AF88" s="177">
        <v>10757727</v>
      </c>
      <c r="AG88" s="177">
        <v>10757727</v>
      </c>
      <c r="AH88" s="177">
        <v>10757727</v>
      </c>
      <c r="AI88" s="177">
        <v>10757727</v>
      </c>
      <c r="AJ88" s="177"/>
      <c r="AK88" s="177">
        <v>32273181</v>
      </c>
      <c r="AL88" s="177">
        <v>32273181</v>
      </c>
      <c r="AM88" s="177">
        <v>32273181</v>
      </c>
      <c r="AN88" s="177">
        <v>32273181</v>
      </c>
      <c r="AO88" s="160">
        <v>0.73525861086624367</v>
      </c>
      <c r="AP88" s="177">
        <v>148362314</v>
      </c>
      <c r="AQ88" s="177">
        <v>10757727</v>
      </c>
      <c r="AR88" s="177">
        <v>10757727</v>
      </c>
      <c r="AS88" s="177">
        <v>10757727</v>
      </c>
      <c r="AT88" s="177">
        <v>12132727</v>
      </c>
      <c r="AU88" s="177">
        <v>12132727</v>
      </c>
      <c r="AV88" s="177">
        <v>12132727</v>
      </c>
      <c r="AW88" s="177">
        <v>12132727</v>
      </c>
      <c r="AX88" s="177">
        <v>12132727</v>
      </c>
      <c r="AY88" s="177">
        <v>12132727</v>
      </c>
      <c r="AZ88" s="177">
        <v>12132727</v>
      </c>
      <c r="BA88" s="177">
        <v>12132727</v>
      </c>
      <c r="BB88" s="177">
        <v>19027317</v>
      </c>
      <c r="BC88" s="177">
        <v>32273181</v>
      </c>
      <c r="BD88" s="177">
        <v>36398181</v>
      </c>
      <c r="BE88" s="177">
        <v>36398181</v>
      </c>
      <c r="BF88" s="177">
        <v>43292771</v>
      </c>
      <c r="BG88" s="270">
        <v>296462568</v>
      </c>
      <c r="BH88" s="270">
        <v>24705214</v>
      </c>
      <c r="BI88" s="270">
        <v>24705214</v>
      </c>
      <c r="BJ88" s="270">
        <v>24705214</v>
      </c>
      <c r="BK88" s="270">
        <v>24705214</v>
      </c>
      <c r="BL88" s="270">
        <v>24705214</v>
      </c>
      <c r="BM88" s="270">
        <v>24705214</v>
      </c>
      <c r="BN88" s="270">
        <v>24705214</v>
      </c>
      <c r="BO88" s="270">
        <v>24705214</v>
      </c>
      <c r="BP88" s="270">
        <v>24705214</v>
      </c>
      <c r="BQ88" s="299">
        <v>24705214</v>
      </c>
      <c r="BR88" s="270">
        <v>24705214</v>
      </c>
      <c r="BS88" s="270">
        <v>24705214</v>
      </c>
      <c r="BT88" s="177">
        <v>74115642</v>
      </c>
      <c r="BU88" s="177">
        <v>74115642</v>
      </c>
      <c r="BV88" s="177">
        <v>74115642</v>
      </c>
      <c r="BW88" s="177">
        <v>74115642</v>
      </c>
      <c r="BX88" s="269">
        <v>24705214</v>
      </c>
      <c r="BY88" s="270">
        <v>24705214</v>
      </c>
      <c r="BZ88" s="270"/>
      <c r="CA88" s="270"/>
      <c r="CB88" s="270"/>
      <c r="CC88" s="270"/>
      <c r="CD88" s="270"/>
      <c r="CE88" s="270"/>
      <c r="CF88" s="270"/>
      <c r="CG88" s="270"/>
      <c r="CH88" s="270"/>
      <c r="CI88" s="270"/>
      <c r="CJ88" s="270"/>
      <c r="CK88" s="271">
        <v>24705214</v>
      </c>
      <c r="CL88" s="271"/>
      <c r="CM88" s="271"/>
      <c r="CN88" s="271"/>
      <c r="CO88" s="156">
        <f t="shared" si="5"/>
        <v>148100254</v>
      </c>
      <c r="CP88" s="291">
        <f t="shared" si="6"/>
        <v>0.99823364847221241</v>
      </c>
    </row>
    <row r="89" spans="1:94" s="161" customFormat="1" ht="15.5" hidden="1" outlineLevel="1" collapsed="1">
      <c r="A89" s="150" t="str">
        <f t="shared" si="7"/>
        <v>in</v>
      </c>
      <c r="B89" s="150"/>
      <c r="C89" s="157" t="s">
        <v>52</v>
      </c>
      <c r="D89" s="177">
        <v>54217214</v>
      </c>
      <c r="E89" s="177">
        <v>28275926</v>
      </c>
      <c r="F89" s="177">
        <v>9681861</v>
      </c>
      <c r="G89" s="177">
        <v>6236012</v>
      </c>
      <c r="H89" s="177">
        <v>5056223</v>
      </c>
      <c r="I89" s="177">
        <v>7301830</v>
      </c>
      <c r="J89" s="177">
        <v>7722474</v>
      </c>
      <c r="K89" s="177">
        <v>3861464</v>
      </c>
      <c r="L89" s="177">
        <v>1897076</v>
      </c>
      <c r="M89" s="177">
        <v>2305928</v>
      </c>
      <c r="N89" s="177">
        <v>1556808</v>
      </c>
      <c r="O89" s="177">
        <v>5000378</v>
      </c>
      <c r="P89" s="177">
        <v>1913520</v>
      </c>
      <c r="Q89" s="177">
        <v>1683640</v>
      </c>
      <c r="R89" s="177">
        <v>20974096</v>
      </c>
      <c r="S89" s="177">
        <v>18885768</v>
      </c>
      <c r="T89" s="177">
        <v>5759812</v>
      </c>
      <c r="U89" s="177">
        <v>8597538</v>
      </c>
      <c r="V89" s="177">
        <v>52000000</v>
      </c>
      <c r="W89" s="177">
        <v>52000000</v>
      </c>
      <c r="X89" s="177">
        <v>8000000</v>
      </c>
      <c r="Y89" s="177">
        <v>4000000</v>
      </c>
      <c r="Z89" s="177">
        <v>4000000</v>
      </c>
      <c r="AA89" s="177">
        <v>4000000</v>
      </c>
      <c r="AB89" s="177">
        <v>4000000</v>
      </c>
      <c r="AC89" s="177">
        <v>4000000</v>
      </c>
      <c r="AD89" s="177">
        <v>4000000</v>
      </c>
      <c r="AE89" s="177">
        <v>4000000</v>
      </c>
      <c r="AF89" s="177">
        <v>4000000</v>
      </c>
      <c r="AG89" s="177">
        <v>4000000</v>
      </c>
      <c r="AH89" s="177">
        <v>4000000</v>
      </c>
      <c r="AI89" s="177">
        <v>4000000</v>
      </c>
      <c r="AJ89" s="177"/>
      <c r="AK89" s="177">
        <v>16000000</v>
      </c>
      <c r="AL89" s="177">
        <v>12000000</v>
      </c>
      <c r="AM89" s="177">
        <v>12000000</v>
      </c>
      <c r="AN89" s="177">
        <v>12000000</v>
      </c>
      <c r="AO89" s="160">
        <v>0.95910498093834184</v>
      </c>
      <c r="AP89" s="177">
        <v>32719058</v>
      </c>
      <c r="AQ89" s="177">
        <v>5924840</v>
      </c>
      <c r="AR89" s="177">
        <v>1135856</v>
      </c>
      <c r="AS89" s="177">
        <v>2077603</v>
      </c>
      <c r="AT89" s="177">
        <v>6363126</v>
      </c>
      <c r="AU89" s="177">
        <v>4241462</v>
      </c>
      <c r="AV89" s="177">
        <v>1172118</v>
      </c>
      <c r="AW89" s="177">
        <v>1236245</v>
      </c>
      <c r="AX89" s="177">
        <v>1417678</v>
      </c>
      <c r="AY89" s="177">
        <v>1384212</v>
      </c>
      <c r="AZ89" s="177">
        <v>1712738</v>
      </c>
      <c r="BA89" s="177">
        <v>1695336</v>
      </c>
      <c r="BB89" s="177">
        <v>4357844</v>
      </c>
      <c r="BC89" s="177">
        <v>9138299</v>
      </c>
      <c r="BD89" s="177">
        <v>11776706</v>
      </c>
      <c r="BE89" s="177">
        <v>4038135</v>
      </c>
      <c r="BF89" s="177">
        <v>7765918</v>
      </c>
      <c r="BG89" s="270">
        <v>30000000</v>
      </c>
      <c r="BH89" s="270">
        <v>2500000</v>
      </c>
      <c r="BI89" s="270">
        <v>2500000</v>
      </c>
      <c r="BJ89" s="270">
        <v>2500000</v>
      </c>
      <c r="BK89" s="270">
        <v>2500000</v>
      </c>
      <c r="BL89" s="270">
        <v>2500000</v>
      </c>
      <c r="BM89" s="270">
        <v>2500000</v>
      </c>
      <c r="BN89" s="270">
        <v>2500000</v>
      </c>
      <c r="BO89" s="270">
        <v>2500000</v>
      </c>
      <c r="BP89" s="270">
        <v>2500000</v>
      </c>
      <c r="BQ89" s="299">
        <v>2500000</v>
      </c>
      <c r="BR89" s="270">
        <v>2500000</v>
      </c>
      <c r="BS89" s="270">
        <v>2500000</v>
      </c>
      <c r="BT89" s="177">
        <v>7500000</v>
      </c>
      <c r="BU89" s="177">
        <v>7500000</v>
      </c>
      <c r="BV89" s="177">
        <v>7500000</v>
      </c>
      <c r="BW89" s="177">
        <v>7500000</v>
      </c>
      <c r="BX89" s="269">
        <v>1310532</v>
      </c>
      <c r="BY89" s="270">
        <v>1310532</v>
      </c>
      <c r="BZ89" s="270"/>
      <c r="CA89" s="270"/>
      <c r="CB89" s="270"/>
      <c r="CC89" s="270"/>
      <c r="CD89" s="270"/>
      <c r="CE89" s="270"/>
      <c r="CF89" s="270"/>
      <c r="CG89" s="270"/>
      <c r="CH89" s="270"/>
      <c r="CI89" s="270"/>
      <c r="CJ89" s="270"/>
      <c r="CK89" s="271">
        <v>1310532</v>
      </c>
      <c r="CL89" s="271"/>
      <c r="CM89" s="271"/>
      <c r="CN89" s="271"/>
      <c r="CO89" s="156">
        <f t="shared" si="5"/>
        <v>-2719058</v>
      </c>
      <c r="CP89" s="291">
        <f t="shared" si="6"/>
        <v>-8.3103187139434154E-2</v>
      </c>
    </row>
    <row r="90" spans="1:94" s="161" customFormat="1" ht="15.5" hidden="1" outlineLevel="1" collapsed="1">
      <c r="A90" s="150" t="str">
        <f t="shared" si="7"/>
        <v>in</v>
      </c>
      <c r="B90" s="150"/>
      <c r="C90" s="157" t="s">
        <v>220</v>
      </c>
      <c r="D90" s="177">
        <v>23352500</v>
      </c>
      <c r="E90" s="177">
        <v>4920500</v>
      </c>
      <c r="F90" s="177">
        <v>1453500</v>
      </c>
      <c r="G90" s="177">
        <v>1150000</v>
      </c>
      <c r="H90" s="177">
        <v>1609000</v>
      </c>
      <c r="I90" s="177">
        <v>708000</v>
      </c>
      <c r="J90" s="177">
        <v>2533000</v>
      </c>
      <c r="K90" s="177">
        <v>2325000</v>
      </c>
      <c r="L90" s="177">
        <v>3016500</v>
      </c>
      <c r="M90" s="177">
        <v>2345500</v>
      </c>
      <c r="N90" s="177">
        <v>2005800</v>
      </c>
      <c r="O90" s="177">
        <v>1579500</v>
      </c>
      <c r="P90" s="177">
        <v>2135700</v>
      </c>
      <c r="Q90" s="177">
        <v>2491000</v>
      </c>
      <c r="R90" s="177">
        <v>4212500</v>
      </c>
      <c r="S90" s="177">
        <v>5566000</v>
      </c>
      <c r="T90" s="177">
        <v>7367800</v>
      </c>
      <c r="U90" s="177">
        <v>6206200</v>
      </c>
      <c r="V90" s="177">
        <v>24000000</v>
      </c>
      <c r="W90" s="177">
        <v>24000000</v>
      </c>
      <c r="X90" s="177">
        <v>2000000</v>
      </c>
      <c r="Y90" s="177">
        <v>2000000</v>
      </c>
      <c r="Z90" s="177">
        <v>2000000</v>
      </c>
      <c r="AA90" s="177">
        <v>2000000</v>
      </c>
      <c r="AB90" s="177">
        <v>2000000</v>
      </c>
      <c r="AC90" s="177">
        <v>2000000</v>
      </c>
      <c r="AD90" s="177">
        <v>2000000</v>
      </c>
      <c r="AE90" s="177">
        <v>2000000</v>
      </c>
      <c r="AF90" s="177">
        <v>2000000</v>
      </c>
      <c r="AG90" s="177">
        <v>2000000</v>
      </c>
      <c r="AH90" s="177">
        <v>2000000</v>
      </c>
      <c r="AI90" s="177">
        <v>2000000</v>
      </c>
      <c r="AJ90" s="177"/>
      <c r="AK90" s="177">
        <v>6000000</v>
      </c>
      <c r="AL90" s="177">
        <v>6000000</v>
      </c>
      <c r="AM90" s="177">
        <v>6000000</v>
      </c>
      <c r="AN90" s="177">
        <v>6000000</v>
      </c>
      <c r="AO90" s="160">
        <v>1.0277272240659459</v>
      </c>
      <c r="AP90" s="177">
        <v>23206300</v>
      </c>
      <c r="AQ90" s="177">
        <v>1917100</v>
      </c>
      <c r="AR90" s="177">
        <v>2006000</v>
      </c>
      <c r="AS90" s="177">
        <v>1386000</v>
      </c>
      <c r="AT90" s="177">
        <v>0</v>
      </c>
      <c r="AU90" s="177">
        <v>2732500</v>
      </c>
      <c r="AV90" s="177">
        <v>2655200</v>
      </c>
      <c r="AW90" s="177">
        <v>2018000</v>
      </c>
      <c r="AX90" s="177">
        <v>2084500</v>
      </c>
      <c r="AY90" s="177">
        <v>1412500</v>
      </c>
      <c r="AZ90" s="177">
        <v>1599500</v>
      </c>
      <c r="BA90" s="177">
        <v>2020000</v>
      </c>
      <c r="BB90" s="177">
        <v>3375000</v>
      </c>
      <c r="BC90" s="177">
        <v>5309100</v>
      </c>
      <c r="BD90" s="177">
        <v>5387700</v>
      </c>
      <c r="BE90" s="177">
        <v>5515000</v>
      </c>
      <c r="BF90" s="177">
        <v>6994500</v>
      </c>
      <c r="BG90" s="270">
        <v>24074076</v>
      </c>
      <c r="BH90" s="270">
        <v>1851852</v>
      </c>
      <c r="BI90" s="270">
        <v>1851852</v>
      </c>
      <c r="BJ90" s="270">
        <v>1851852</v>
      </c>
      <c r="BK90" s="270">
        <v>1851852</v>
      </c>
      <c r="BL90" s="270">
        <v>2777778</v>
      </c>
      <c r="BM90" s="270">
        <v>2777778</v>
      </c>
      <c r="BN90" s="270">
        <v>1851852</v>
      </c>
      <c r="BO90" s="270">
        <v>1851852</v>
      </c>
      <c r="BP90" s="270">
        <v>1851852</v>
      </c>
      <c r="BQ90" s="299">
        <v>1851852</v>
      </c>
      <c r="BR90" s="270">
        <v>1851852</v>
      </c>
      <c r="BS90" s="270">
        <v>1851852</v>
      </c>
      <c r="BT90" s="177">
        <v>5555556</v>
      </c>
      <c r="BU90" s="177">
        <v>7407408</v>
      </c>
      <c r="BV90" s="177">
        <v>5555556</v>
      </c>
      <c r="BW90" s="177">
        <v>5555556</v>
      </c>
      <c r="BX90" s="269">
        <v>2722500</v>
      </c>
      <c r="BY90" s="270">
        <v>2722500</v>
      </c>
      <c r="BZ90" s="270"/>
      <c r="CA90" s="270"/>
      <c r="CB90" s="270"/>
      <c r="CC90" s="270"/>
      <c r="CD90" s="270"/>
      <c r="CE90" s="270"/>
      <c r="CF90" s="270"/>
      <c r="CG90" s="270"/>
      <c r="CH90" s="270"/>
      <c r="CI90" s="270"/>
      <c r="CJ90" s="270"/>
      <c r="CK90" s="271">
        <v>2722500</v>
      </c>
      <c r="CL90" s="271"/>
      <c r="CM90" s="271"/>
      <c r="CN90" s="271"/>
      <c r="CO90" s="156">
        <f t="shared" si="5"/>
        <v>867776</v>
      </c>
      <c r="CP90" s="291">
        <f t="shared" si="6"/>
        <v>3.7393983530334435E-2</v>
      </c>
    </row>
    <row r="91" spans="1:94" s="161" customFormat="1" ht="15.5" hidden="1" outlineLevel="1" collapsed="1">
      <c r="A91" s="150" t="str">
        <f t="shared" si="7"/>
        <v>in</v>
      </c>
      <c r="B91" s="150"/>
      <c r="C91" s="157" t="s">
        <v>221</v>
      </c>
      <c r="D91" s="177">
        <v>51945634</v>
      </c>
      <c r="E91" s="177">
        <v>21127398</v>
      </c>
      <c r="F91" s="177">
        <v>0</v>
      </c>
      <c r="G91" s="177">
        <v>1589375</v>
      </c>
      <c r="H91" s="177">
        <v>4479875</v>
      </c>
      <c r="I91" s="177">
        <v>15058148</v>
      </c>
      <c r="J91" s="177">
        <v>941125</v>
      </c>
      <c r="K91" s="177">
        <v>2585375</v>
      </c>
      <c r="L91" s="177">
        <v>1887750</v>
      </c>
      <c r="M91" s="177">
        <v>3161875</v>
      </c>
      <c r="N91" s="177">
        <v>2769125</v>
      </c>
      <c r="O91" s="177">
        <v>16986986</v>
      </c>
      <c r="P91" s="177">
        <v>1380500</v>
      </c>
      <c r="Q91" s="177">
        <v>1105500</v>
      </c>
      <c r="R91" s="177">
        <v>6069250</v>
      </c>
      <c r="S91" s="177">
        <v>18584648</v>
      </c>
      <c r="T91" s="177">
        <v>7818750</v>
      </c>
      <c r="U91" s="177">
        <v>19472986</v>
      </c>
      <c r="V91" s="177">
        <v>52000000</v>
      </c>
      <c r="W91" s="177">
        <v>52000000</v>
      </c>
      <c r="X91" s="177">
        <v>2000000</v>
      </c>
      <c r="Y91" s="177">
        <v>2000000</v>
      </c>
      <c r="Z91" s="177">
        <v>2000000</v>
      </c>
      <c r="AA91" s="177">
        <v>16000000</v>
      </c>
      <c r="AB91" s="177">
        <v>2000000</v>
      </c>
      <c r="AC91" s="177">
        <v>2000000</v>
      </c>
      <c r="AD91" s="177">
        <v>2000000</v>
      </c>
      <c r="AE91" s="177">
        <v>2000000</v>
      </c>
      <c r="AF91" s="177">
        <v>2000000</v>
      </c>
      <c r="AG91" s="177">
        <v>16000000</v>
      </c>
      <c r="AH91" s="177">
        <v>2000000</v>
      </c>
      <c r="AI91" s="177">
        <v>2000000</v>
      </c>
      <c r="AJ91" s="177"/>
      <c r="AK91" s="177">
        <v>6000000</v>
      </c>
      <c r="AL91" s="177">
        <v>20000000</v>
      </c>
      <c r="AM91" s="177">
        <v>6000000</v>
      </c>
      <c r="AN91" s="177">
        <v>20000000</v>
      </c>
      <c r="AO91" s="160">
        <v>1.001046594214251</v>
      </c>
      <c r="AP91" s="177">
        <v>50628453</v>
      </c>
      <c r="AQ91" s="177">
        <v>958125</v>
      </c>
      <c r="AR91" s="177">
        <v>3084875</v>
      </c>
      <c r="AS91" s="177">
        <v>1720625</v>
      </c>
      <c r="AT91" s="177">
        <v>14887671</v>
      </c>
      <c r="AU91" s="177">
        <v>1453375</v>
      </c>
      <c r="AV91" s="177">
        <v>2798000</v>
      </c>
      <c r="AW91" s="177">
        <v>1293750</v>
      </c>
      <c r="AX91" s="177">
        <v>2967875</v>
      </c>
      <c r="AY91" s="177">
        <v>1434250</v>
      </c>
      <c r="AZ91" s="177">
        <v>15996310</v>
      </c>
      <c r="BA91" s="177">
        <v>2400875</v>
      </c>
      <c r="BB91" s="177">
        <v>1632722</v>
      </c>
      <c r="BC91" s="177">
        <v>5763625</v>
      </c>
      <c r="BD91" s="177">
        <v>19139046</v>
      </c>
      <c r="BE91" s="177">
        <v>5695875</v>
      </c>
      <c r="BF91" s="177">
        <v>20029907</v>
      </c>
      <c r="BG91" s="270">
        <v>56000000</v>
      </c>
      <c r="BH91" s="270">
        <v>1500000</v>
      </c>
      <c r="BI91" s="270">
        <v>3000000</v>
      </c>
      <c r="BJ91" s="270">
        <v>3700000</v>
      </c>
      <c r="BK91" s="270">
        <v>15800000</v>
      </c>
      <c r="BL91" s="270">
        <v>1500000</v>
      </c>
      <c r="BM91" s="270">
        <v>3500000</v>
      </c>
      <c r="BN91" s="270">
        <v>1300000</v>
      </c>
      <c r="BO91" s="270">
        <v>3000000</v>
      </c>
      <c r="BP91" s="270">
        <v>1500000</v>
      </c>
      <c r="BQ91" s="299">
        <v>16200000</v>
      </c>
      <c r="BR91" s="270">
        <v>2000000</v>
      </c>
      <c r="BS91" s="270">
        <v>3000000</v>
      </c>
      <c r="BT91" s="177">
        <v>8200000</v>
      </c>
      <c r="BU91" s="177">
        <v>20800000</v>
      </c>
      <c r="BV91" s="177">
        <v>5800000</v>
      </c>
      <c r="BW91" s="177">
        <v>21200000</v>
      </c>
      <c r="BX91" s="269">
        <v>1167375</v>
      </c>
      <c r="BY91" s="270">
        <v>1167375</v>
      </c>
      <c r="BZ91" s="270"/>
      <c r="CA91" s="270"/>
      <c r="CB91" s="270"/>
      <c r="CC91" s="270"/>
      <c r="CD91" s="270"/>
      <c r="CE91" s="270"/>
      <c r="CF91" s="270"/>
      <c r="CG91" s="270"/>
      <c r="CH91" s="270"/>
      <c r="CI91" s="270"/>
      <c r="CJ91" s="270"/>
      <c r="CK91" s="271">
        <v>1167375</v>
      </c>
      <c r="CL91" s="271"/>
      <c r="CM91" s="271"/>
      <c r="CN91" s="271"/>
      <c r="CO91" s="156">
        <f t="shared" si="5"/>
        <v>5371547</v>
      </c>
      <c r="CP91" s="291">
        <f t="shared" si="6"/>
        <v>0.10609739547048772</v>
      </c>
    </row>
    <row r="92" spans="1:94" s="161" customFormat="1" ht="15.5" hidden="1" outlineLevel="1" collapsed="1">
      <c r="A92" s="150" t="str">
        <f t="shared" si="7"/>
        <v>in</v>
      </c>
      <c r="B92" s="150"/>
      <c r="C92" s="157" t="s">
        <v>222</v>
      </c>
      <c r="D92" s="177">
        <v>2148466</v>
      </c>
      <c r="E92" s="177">
        <v>909247</v>
      </c>
      <c r="F92" s="177">
        <v>135961</v>
      </c>
      <c r="G92" s="177">
        <v>193626</v>
      </c>
      <c r="H92" s="177">
        <v>166985</v>
      </c>
      <c r="I92" s="177">
        <v>412675</v>
      </c>
      <c r="J92" s="177">
        <v>0</v>
      </c>
      <c r="K92" s="177">
        <v>205217</v>
      </c>
      <c r="L92" s="177">
        <v>148805</v>
      </c>
      <c r="M92" s="177">
        <v>215551</v>
      </c>
      <c r="N92" s="177">
        <v>160716</v>
      </c>
      <c r="O92" s="177">
        <v>190084</v>
      </c>
      <c r="P92" s="177">
        <v>172209</v>
      </c>
      <c r="Q92" s="177">
        <v>146637</v>
      </c>
      <c r="R92" s="177">
        <v>496572</v>
      </c>
      <c r="S92" s="177">
        <v>617892</v>
      </c>
      <c r="T92" s="177">
        <v>525072</v>
      </c>
      <c r="U92" s="177">
        <v>508930</v>
      </c>
      <c r="V92" s="177">
        <v>2222222.222222222</v>
      </c>
      <c r="W92" s="177">
        <v>2222222.222222222</v>
      </c>
      <c r="X92" s="177">
        <v>185185.18518518517</v>
      </c>
      <c r="Y92" s="177">
        <v>185185.18518518517</v>
      </c>
      <c r="Z92" s="177">
        <v>185185.18518518517</v>
      </c>
      <c r="AA92" s="177">
        <v>185185.18518518517</v>
      </c>
      <c r="AB92" s="177">
        <v>185185.18518518517</v>
      </c>
      <c r="AC92" s="177">
        <v>185185.18518518517</v>
      </c>
      <c r="AD92" s="177">
        <v>185185.18518518517</v>
      </c>
      <c r="AE92" s="177">
        <v>185185.18518518517</v>
      </c>
      <c r="AF92" s="177">
        <v>185185.18518518517</v>
      </c>
      <c r="AG92" s="177">
        <v>185185.18518518517</v>
      </c>
      <c r="AH92" s="177">
        <v>185185.18518518517</v>
      </c>
      <c r="AI92" s="177">
        <v>185185.18518518517</v>
      </c>
      <c r="AJ92" s="177"/>
      <c r="AK92" s="177">
        <v>555555.5555555555</v>
      </c>
      <c r="AL92" s="177">
        <v>555555.5555555555</v>
      </c>
      <c r="AM92" s="177">
        <v>555555.5555555555</v>
      </c>
      <c r="AN92" s="177">
        <v>555555.5555555555</v>
      </c>
      <c r="AO92" s="160">
        <v>1.034329713489635</v>
      </c>
      <c r="AP92" s="177">
        <v>1802450</v>
      </c>
      <c r="AQ92" s="177">
        <v>143375</v>
      </c>
      <c r="AR92" s="177">
        <v>220800</v>
      </c>
      <c r="AS92" s="177">
        <v>130444</v>
      </c>
      <c r="AT92" s="177">
        <v>140374</v>
      </c>
      <c r="AU92" s="177">
        <v>151029</v>
      </c>
      <c r="AV92" s="177">
        <v>150029</v>
      </c>
      <c r="AW92" s="177">
        <v>127206</v>
      </c>
      <c r="AX92" s="177">
        <v>178452</v>
      </c>
      <c r="AY92" s="177">
        <v>151007</v>
      </c>
      <c r="AZ92" s="177">
        <v>141432</v>
      </c>
      <c r="BA92" s="177">
        <v>138253</v>
      </c>
      <c r="BB92" s="177">
        <v>130049</v>
      </c>
      <c r="BC92" s="177">
        <v>494619</v>
      </c>
      <c r="BD92" s="177">
        <v>441432</v>
      </c>
      <c r="BE92" s="177">
        <v>456665</v>
      </c>
      <c r="BF92" s="177">
        <v>409734</v>
      </c>
      <c r="BG92" s="270">
        <v>2160000</v>
      </c>
      <c r="BH92" s="270">
        <v>180000</v>
      </c>
      <c r="BI92" s="270">
        <v>180000</v>
      </c>
      <c r="BJ92" s="270">
        <v>180000</v>
      </c>
      <c r="BK92" s="270">
        <v>180000</v>
      </c>
      <c r="BL92" s="270">
        <v>180000</v>
      </c>
      <c r="BM92" s="270">
        <v>180000</v>
      </c>
      <c r="BN92" s="270">
        <v>180000</v>
      </c>
      <c r="BO92" s="270">
        <v>180000</v>
      </c>
      <c r="BP92" s="270">
        <v>180000</v>
      </c>
      <c r="BQ92" s="299">
        <v>180000</v>
      </c>
      <c r="BR92" s="270">
        <v>180000</v>
      </c>
      <c r="BS92" s="270">
        <v>180000</v>
      </c>
      <c r="BT92" s="177">
        <v>540000</v>
      </c>
      <c r="BU92" s="177">
        <v>540000</v>
      </c>
      <c r="BV92" s="177">
        <v>540000</v>
      </c>
      <c r="BW92" s="177">
        <v>540000</v>
      </c>
      <c r="BX92" s="269">
        <v>116707</v>
      </c>
      <c r="BY92" s="270">
        <v>116707</v>
      </c>
      <c r="BZ92" s="270"/>
      <c r="CA92" s="270"/>
      <c r="CB92" s="270"/>
      <c r="CC92" s="270"/>
      <c r="CD92" s="270"/>
      <c r="CE92" s="270"/>
      <c r="CF92" s="270"/>
      <c r="CG92" s="270"/>
      <c r="CH92" s="270"/>
      <c r="CI92" s="270"/>
      <c r="CJ92" s="270"/>
      <c r="CK92" s="271">
        <v>116707</v>
      </c>
      <c r="CL92" s="271"/>
      <c r="CM92" s="271"/>
      <c r="CN92" s="271"/>
      <c r="CO92" s="156">
        <f t="shared" si="5"/>
        <v>357550</v>
      </c>
      <c r="CP92" s="291">
        <f t="shared" si="6"/>
        <v>0.19836888679297623</v>
      </c>
    </row>
    <row r="93" spans="1:94" s="161" customFormat="1" ht="15.5" hidden="1" outlineLevel="1" collapsed="1">
      <c r="A93" s="150" t="str">
        <f t="shared" si="7"/>
        <v>in</v>
      </c>
      <c r="B93" s="150"/>
      <c r="C93" s="157" t="s">
        <v>61</v>
      </c>
      <c r="D93" s="177">
        <v>133948425</v>
      </c>
      <c r="E93" s="177">
        <v>53276408</v>
      </c>
      <c r="F93" s="177">
        <v>14348204</v>
      </c>
      <c r="G93" s="177">
        <v>9079568</v>
      </c>
      <c r="H93" s="177">
        <v>20004318</v>
      </c>
      <c r="I93" s="177">
        <v>9844318</v>
      </c>
      <c r="J93" s="177">
        <v>9844318</v>
      </c>
      <c r="K93" s="177">
        <v>12498191</v>
      </c>
      <c r="L93" s="177">
        <v>9850918</v>
      </c>
      <c r="M93" s="177">
        <v>11200918</v>
      </c>
      <c r="N93" s="177">
        <v>9850918</v>
      </c>
      <c r="O93" s="177">
        <v>9850918</v>
      </c>
      <c r="P93" s="177">
        <v>8787918</v>
      </c>
      <c r="Q93" s="177">
        <v>8787918</v>
      </c>
      <c r="R93" s="177">
        <v>43432090</v>
      </c>
      <c r="S93" s="177">
        <v>32186827</v>
      </c>
      <c r="T93" s="177">
        <v>30902754</v>
      </c>
      <c r="U93" s="177">
        <v>27426754</v>
      </c>
      <c r="V93" s="177">
        <v>174543228.72727272</v>
      </c>
      <c r="W93" s="177">
        <v>174543228.72727272</v>
      </c>
      <c r="X93" s="177">
        <v>10410718</v>
      </c>
      <c r="Y93" s="177">
        <v>11578570</v>
      </c>
      <c r="Z93" s="177">
        <v>10795819</v>
      </c>
      <c r="AA93" s="177">
        <v>12612761</v>
      </c>
      <c r="AB93" s="177">
        <v>15744761</v>
      </c>
      <c r="AC93" s="177">
        <v>18932033.727272727</v>
      </c>
      <c r="AD93" s="177">
        <v>15744761</v>
      </c>
      <c r="AE93" s="177">
        <v>15744761</v>
      </c>
      <c r="AF93" s="177">
        <v>15744761</v>
      </c>
      <c r="AG93" s="177">
        <v>15744761</v>
      </c>
      <c r="AH93" s="177">
        <v>15744761</v>
      </c>
      <c r="AI93" s="177">
        <v>15744761</v>
      </c>
      <c r="AJ93" s="177"/>
      <c r="AK93" s="177">
        <v>32785107</v>
      </c>
      <c r="AL93" s="177">
        <v>47289555.727272727</v>
      </c>
      <c r="AM93" s="177">
        <v>47234283</v>
      </c>
      <c r="AN93" s="177">
        <v>47234283</v>
      </c>
      <c r="AO93" s="160">
        <v>1.3030629417798136</v>
      </c>
      <c r="AP93" s="177">
        <v>120948321</v>
      </c>
      <c r="AQ93" s="177">
        <v>10410718</v>
      </c>
      <c r="AR93" s="177">
        <v>11578570</v>
      </c>
      <c r="AS93" s="177">
        <v>14383819</v>
      </c>
      <c r="AT93" s="177">
        <v>6883594</v>
      </c>
      <c r="AU93" s="177">
        <v>7833594</v>
      </c>
      <c r="AV93" s="177">
        <v>7500737</v>
      </c>
      <c r="AW93" s="177">
        <v>6960737</v>
      </c>
      <c r="AX93" s="177">
        <v>6960737</v>
      </c>
      <c r="AY93" s="177">
        <v>17500737</v>
      </c>
      <c r="AZ93" s="177">
        <v>11160737</v>
      </c>
      <c r="BA93" s="177">
        <v>9216237</v>
      </c>
      <c r="BB93" s="177">
        <v>10558104</v>
      </c>
      <c r="BC93" s="177">
        <v>36373107</v>
      </c>
      <c r="BD93" s="177">
        <v>22217925</v>
      </c>
      <c r="BE93" s="177">
        <v>31422211</v>
      </c>
      <c r="BF93" s="177">
        <v>30935078</v>
      </c>
      <c r="BG93" s="270">
        <v>147756013</v>
      </c>
      <c r="BH93" s="270">
        <v>10558104</v>
      </c>
      <c r="BI93" s="270">
        <v>13205377</v>
      </c>
      <c r="BJ93" s="270">
        <v>13033104</v>
      </c>
      <c r="BK93" s="270">
        <v>20056181</v>
      </c>
      <c r="BL93" s="270">
        <v>14002981</v>
      </c>
      <c r="BM93" s="270">
        <v>10273181</v>
      </c>
      <c r="BN93" s="270">
        <v>10056181</v>
      </c>
      <c r="BO93" s="270">
        <v>10056181</v>
      </c>
      <c r="BP93" s="270">
        <v>20596181</v>
      </c>
      <c r="BQ93" s="299">
        <v>8639514</v>
      </c>
      <c r="BR93" s="270">
        <v>8639514</v>
      </c>
      <c r="BS93" s="270">
        <v>8639514</v>
      </c>
      <c r="BT93" s="177">
        <v>36796585</v>
      </c>
      <c r="BU93" s="177">
        <v>44332343</v>
      </c>
      <c r="BV93" s="177">
        <v>40708543</v>
      </c>
      <c r="BW93" s="177">
        <v>25918542</v>
      </c>
      <c r="BX93" s="269">
        <v>10558104</v>
      </c>
      <c r="BY93" s="270">
        <v>10558104</v>
      </c>
      <c r="BZ93" s="270"/>
      <c r="CA93" s="270"/>
      <c r="CB93" s="270"/>
      <c r="CC93" s="270"/>
      <c r="CD93" s="270"/>
      <c r="CE93" s="270"/>
      <c r="CF93" s="270"/>
      <c r="CG93" s="270"/>
      <c r="CH93" s="270"/>
      <c r="CI93" s="270"/>
      <c r="CJ93" s="270"/>
      <c r="CK93" s="271">
        <v>10558104</v>
      </c>
      <c r="CL93" s="271"/>
      <c r="CM93" s="271"/>
      <c r="CN93" s="271"/>
      <c r="CO93" s="156">
        <f t="shared" si="5"/>
        <v>26807692</v>
      </c>
      <c r="CP93" s="291">
        <f t="shared" si="6"/>
        <v>0.22164583830808202</v>
      </c>
    </row>
    <row r="94" spans="1:94" s="161" customFormat="1" ht="15.5" hidden="1" outlineLevel="1" collapsed="1">
      <c r="A94" s="150" t="str">
        <f t="shared" si="7"/>
        <v>in</v>
      </c>
      <c r="B94" s="150"/>
      <c r="C94" s="157" t="s">
        <v>223</v>
      </c>
      <c r="D94" s="177">
        <v>60986996</v>
      </c>
      <c r="E94" s="177">
        <v>19031859</v>
      </c>
      <c r="F94" s="177">
        <v>4923862</v>
      </c>
      <c r="G94" s="177">
        <v>4175365</v>
      </c>
      <c r="H94" s="177">
        <v>4664711</v>
      </c>
      <c r="I94" s="177">
        <v>5267921</v>
      </c>
      <c r="J94" s="177">
        <v>4676491</v>
      </c>
      <c r="K94" s="177">
        <v>5468174</v>
      </c>
      <c r="L94" s="177">
        <v>5271360</v>
      </c>
      <c r="M94" s="177">
        <v>5356268</v>
      </c>
      <c r="N94" s="177">
        <v>5279700</v>
      </c>
      <c r="O94" s="177">
        <v>5019182</v>
      </c>
      <c r="P94" s="177">
        <v>5574386</v>
      </c>
      <c r="Q94" s="177">
        <v>5309576</v>
      </c>
      <c r="R94" s="177">
        <v>13763938</v>
      </c>
      <c r="S94" s="177">
        <v>15412586</v>
      </c>
      <c r="T94" s="177">
        <v>15907328</v>
      </c>
      <c r="U94" s="177">
        <v>15903144</v>
      </c>
      <c r="V94" s="177">
        <v>62018518.518518507</v>
      </c>
      <c r="W94" s="177">
        <v>62018518.518518507</v>
      </c>
      <c r="X94" s="177">
        <v>5092592.5925925924</v>
      </c>
      <c r="Y94" s="177">
        <v>5092592.5925925924</v>
      </c>
      <c r="Z94" s="177">
        <v>5092592.5925925924</v>
      </c>
      <c r="AA94" s="177">
        <v>5092592.5925925924</v>
      </c>
      <c r="AB94" s="177">
        <v>5092592.5925925924</v>
      </c>
      <c r="AC94" s="177">
        <v>5092592.5925925924</v>
      </c>
      <c r="AD94" s="177">
        <v>5092592.5925925924</v>
      </c>
      <c r="AE94" s="177">
        <v>5092592.5925925924</v>
      </c>
      <c r="AF94" s="177">
        <v>5092592.5925925924</v>
      </c>
      <c r="AG94" s="177">
        <v>5092592.5925925924</v>
      </c>
      <c r="AH94" s="177">
        <v>5092592.5925925924</v>
      </c>
      <c r="AI94" s="177">
        <v>6000000</v>
      </c>
      <c r="AJ94" s="177"/>
      <c r="AK94" s="177">
        <v>15277777.777777776</v>
      </c>
      <c r="AL94" s="177">
        <v>15277777.777777776</v>
      </c>
      <c r="AM94" s="177">
        <v>15277777.777777776</v>
      </c>
      <c r="AN94" s="177">
        <v>16185185.185185185</v>
      </c>
      <c r="AO94" s="160">
        <v>1.0169138109133709</v>
      </c>
      <c r="AP94" s="177">
        <v>64167381</v>
      </c>
      <c r="AQ94" s="177">
        <v>4367199</v>
      </c>
      <c r="AR94" s="177">
        <v>5562657</v>
      </c>
      <c r="AS94" s="177">
        <v>4798276</v>
      </c>
      <c r="AT94" s="177">
        <v>4923781</v>
      </c>
      <c r="AU94" s="177">
        <v>5588935</v>
      </c>
      <c r="AV94" s="177">
        <v>6471287</v>
      </c>
      <c r="AW94" s="177">
        <v>5763095</v>
      </c>
      <c r="AX94" s="177">
        <v>5627689</v>
      </c>
      <c r="AY94" s="177">
        <v>5262184</v>
      </c>
      <c r="AZ94" s="177">
        <v>5074579</v>
      </c>
      <c r="BA94" s="177">
        <v>5488157</v>
      </c>
      <c r="BB94" s="177">
        <v>5239542</v>
      </c>
      <c r="BC94" s="177">
        <v>14728132</v>
      </c>
      <c r="BD94" s="177">
        <v>16984003</v>
      </c>
      <c r="BE94" s="177">
        <v>16652968</v>
      </c>
      <c r="BF94" s="177">
        <v>15802278</v>
      </c>
      <c r="BG94" s="270">
        <v>67980000</v>
      </c>
      <c r="BH94" s="270">
        <v>5540000</v>
      </c>
      <c r="BI94" s="270">
        <v>5540000</v>
      </c>
      <c r="BJ94" s="270">
        <v>5540000</v>
      </c>
      <c r="BK94" s="270">
        <v>5540000</v>
      </c>
      <c r="BL94" s="270">
        <v>5540000</v>
      </c>
      <c r="BM94" s="270">
        <v>6040000</v>
      </c>
      <c r="BN94" s="270">
        <v>6040000</v>
      </c>
      <c r="BO94" s="270">
        <v>6040000</v>
      </c>
      <c r="BP94" s="270">
        <v>5540000</v>
      </c>
      <c r="BQ94" s="299">
        <v>5540000</v>
      </c>
      <c r="BR94" s="270">
        <v>5540000</v>
      </c>
      <c r="BS94" s="270">
        <v>5540000</v>
      </c>
      <c r="BT94" s="177">
        <v>16620000</v>
      </c>
      <c r="BU94" s="177">
        <v>17120000</v>
      </c>
      <c r="BV94" s="177">
        <v>17620000</v>
      </c>
      <c r="BW94" s="177">
        <v>16620000</v>
      </c>
      <c r="BX94" s="269">
        <v>5002733</v>
      </c>
      <c r="BY94" s="270">
        <v>5002733</v>
      </c>
      <c r="BZ94" s="270"/>
      <c r="CA94" s="270"/>
      <c r="CB94" s="270"/>
      <c r="CC94" s="270"/>
      <c r="CD94" s="270"/>
      <c r="CE94" s="270"/>
      <c r="CF94" s="270"/>
      <c r="CG94" s="270"/>
      <c r="CH94" s="270"/>
      <c r="CI94" s="270"/>
      <c r="CJ94" s="270"/>
      <c r="CK94" s="271">
        <v>5002733</v>
      </c>
      <c r="CL94" s="271"/>
      <c r="CM94" s="271"/>
      <c r="CN94" s="271"/>
      <c r="CO94" s="156">
        <f t="shared" si="5"/>
        <v>3812619</v>
      </c>
      <c r="CP94" s="291">
        <f t="shared" si="6"/>
        <v>5.9416777505692492E-2</v>
      </c>
    </row>
    <row r="95" spans="1:94" s="161" customFormat="1" ht="15.5" hidden="1" outlineLevel="1" collapsed="1">
      <c r="A95" s="150" t="str">
        <f t="shared" si="7"/>
        <v>in</v>
      </c>
      <c r="B95" s="150"/>
      <c r="C95" s="210" t="s">
        <v>81</v>
      </c>
      <c r="D95" s="177">
        <v>2081275560</v>
      </c>
      <c r="E95" s="177">
        <v>693758520</v>
      </c>
      <c r="F95" s="177">
        <v>173439630</v>
      </c>
      <c r="G95" s="177">
        <v>173439630</v>
      </c>
      <c r="H95" s="177">
        <v>173439630</v>
      </c>
      <c r="I95" s="177">
        <v>173439630</v>
      </c>
      <c r="J95" s="177">
        <v>173439630</v>
      </c>
      <c r="K95" s="177">
        <v>173439630</v>
      </c>
      <c r="L95" s="177">
        <v>173439630</v>
      </c>
      <c r="M95" s="177">
        <v>173439630</v>
      </c>
      <c r="N95" s="177">
        <v>173439630</v>
      </c>
      <c r="O95" s="177">
        <v>173439630</v>
      </c>
      <c r="P95" s="177">
        <v>173439630</v>
      </c>
      <c r="Q95" s="177">
        <v>173439630</v>
      </c>
      <c r="R95" s="177">
        <v>520318890</v>
      </c>
      <c r="S95" s="177">
        <v>520318890</v>
      </c>
      <c r="T95" s="177">
        <v>520318890</v>
      </c>
      <c r="U95" s="177">
        <v>520318890</v>
      </c>
      <c r="V95" s="177">
        <v>2081275560</v>
      </c>
      <c r="W95" s="177">
        <v>2081275560</v>
      </c>
      <c r="X95" s="177">
        <v>173439630</v>
      </c>
      <c r="Y95" s="177">
        <v>173439630</v>
      </c>
      <c r="Z95" s="177">
        <v>173439630</v>
      </c>
      <c r="AA95" s="177">
        <v>173439630</v>
      </c>
      <c r="AB95" s="177">
        <v>173439630</v>
      </c>
      <c r="AC95" s="177">
        <v>173439630</v>
      </c>
      <c r="AD95" s="177">
        <v>173439630</v>
      </c>
      <c r="AE95" s="177">
        <v>173439630</v>
      </c>
      <c r="AF95" s="177">
        <v>173439630</v>
      </c>
      <c r="AG95" s="177">
        <v>173439630</v>
      </c>
      <c r="AH95" s="177">
        <v>173439630</v>
      </c>
      <c r="AI95" s="177">
        <v>173439630</v>
      </c>
      <c r="AJ95" s="177"/>
      <c r="AK95" s="177">
        <v>520318890</v>
      </c>
      <c r="AL95" s="177">
        <v>520318890</v>
      </c>
      <c r="AM95" s="177">
        <v>520318890</v>
      </c>
      <c r="AN95" s="177">
        <v>520318890</v>
      </c>
      <c r="AO95" s="160">
        <v>1</v>
      </c>
      <c r="AP95" s="177">
        <v>2081275560</v>
      </c>
      <c r="AQ95" s="177">
        <v>173439630</v>
      </c>
      <c r="AR95" s="177">
        <v>173439630</v>
      </c>
      <c r="AS95" s="177">
        <v>173439630</v>
      </c>
      <c r="AT95" s="177">
        <v>173439630</v>
      </c>
      <c r="AU95" s="177">
        <v>173439630</v>
      </c>
      <c r="AV95" s="177">
        <v>173439630</v>
      </c>
      <c r="AW95" s="177">
        <v>173439630</v>
      </c>
      <c r="AX95" s="177">
        <v>173439630</v>
      </c>
      <c r="AY95" s="177">
        <v>173439630</v>
      </c>
      <c r="AZ95" s="177">
        <v>173439630</v>
      </c>
      <c r="BA95" s="177">
        <v>173439630</v>
      </c>
      <c r="BB95" s="177">
        <v>173439630</v>
      </c>
      <c r="BC95" s="177">
        <v>520318890</v>
      </c>
      <c r="BD95" s="177">
        <v>520318890</v>
      </c>
      <c r="BE95" s="177">
        <v>520318890</v>
      </c>
      <c r="BF95" s="177">
        <v>520318890</v>
      </c>
      <c r="BG95" s="270">
        <v>2081275560</v>
      </c>
      <c r="BH95" s="270">
        <v>173439630</v>
      </c>
      <c r="BI95" s="270">
        <v>173439630</v>
      </c>
      <c r="BJ95" s="270">
        <v>173439630</v>
      </c>
      <c r="BK95" s="270">
        <v>173439630</v>
      </c>
      <c r="BL95" s="270">
        <v>173439630</v>
      </c>
      <c r="BM95" s="270">
        <v>173439630</v>
      </c>
      <c r="BN95" s="270">
        <v>173439630</v>
      </c>
      <c r="BO95" s="270">
        <v>173439630</v>
      </c>
      <c r="BP95" s="270">
        <v>173439630</v>
      </c>
      <c r="BQ95" s="299">
        <v>173439630</v>
      </c>
      <c r="BR95" s="270">
        <v>173439630</v>
      </c>
      <c r="BS95" s="270">
        <v>173439630</v>
      </c>
      <c r="BT95" s="177">
        <v>520318890</v>
      </c>
      <c r="BU95" s="177">
        <v>520318890</v>
      </c>
      <c r="BV95" s="177">
        <v>520318890</v>
      </c>
      <c r="BW95" s="177">
        <v>520318890</v>
      </c>
      <c r="BX95" s="269">
        <v>173439630</v>
      </c>
      <c r="BY95" s="270">
        <v>173439630</v>
      </c>
      <c r="BZ95" s="270"/>
      <c r="CA95" s="270"/>
      <c r="CB95" s="270"/>
      <c r="CC95" s="270"/>
      <c r="CD95" s="270"/>
      <c r="CE95" s="270"/>
      <c r="CF95" s="270"/>
      <c r="CG95" s="270"/>
      <c r="CH95" s="270"/>
      <c r="CI95" s="270"/>
      <c r="CJ95" s="270"/>
      <c r="CK95" s="271">
        <v>173439630</v>
      </c>
      <c r="CL95" s="271"/>
      <c r="CM95" s="271"/>
      <c r="CN95" s="271"/>
      <c r="CO95" s="156">
        <f t="shared" si="5"/>
        <v>0</v>
      </c>
      <c r="CP95" s="291">
        <f t="shared" si="6"/>
        <v>0</v>
      </c>
    </row>
    <row r="96" spans="1:94" s="161" customFormat="1" ht="15.5" hidden="1" outlineLevel="1" collapsed="1">
      <c r="A96" s="150" t="str">
        <f t="shared" si="7"/>
        <v>in</v>
      </c>
      <c r="B96" s="150"/>
      <c r="C96" s="157" t="s">
        <v>224</v>
      </c>
      <c r="D96" s="177">
        <v>37080000</v>
      </c>
      <c r="E96" s="177">
        <v>12360000</v>
      </c>
      <c r="F96" s="177">
        <v>0</v>
      </c>
      <c r="G96" s="177">
        <v>6180000</v>
      </c>
      <c r="H96" s="177">
        <v>3090000</v>
      </c>
      <c r="I96" s="177">
        <v>3090000</v>
      </c>
      <c r="J96" s="177">
        <v>3090000</v>
      </c>
      <c r="K96" s="177">
        <v>3090000</v>
      </c>
      <c r="L96" s="177">
        <v>3090000</v>
      </c>
      <c r="M96" s="177">
        <v>3090000</v>
      </c>
      <c r="N96" s="177">
        <v>3090000</v>
      </c>
      <c r="O96" s="177">
        <v>3090000</v>
      </c>
      <c r="P96" s="177">
        <v>3090000</v>
      </c>
      <c r="Q96" s="177">
        <v>3090000</v>
      </c>
      <c r="R96" s="177">
        <v>9270000</v>
      </c>
      <c r="S96" s="177">
        <v>9270000</v>
      </c>
      <c r="T96" s="177">
        <v>9270000</v>
      </c>
      <c r="U96" s="177">
        <v>9270000</v>
      </c>
      <c r="V96" s="177">
        <v>37080000</v>
      </c>
      <c r="W96" s="177">
        <v>37080000</v>
      </c>
      <c r="X96" s="177">
        <v>3090000</v>
      </c>
      <c r="Y96" s="177">
        <v>3090000</v>
      </c>
      <c r="Z96" s="177">
        <v>3090000</v>
      </c>
      <c r="AA96" s="177">
        <v>3090000</v>
      </c>
      <c r="AB96" s="177">
        <v>3090000</v>
      </c>
      <c r="AC96" s="177">
        <v>3090000</v>
      </c>
      <c r="AD96" s="177">
        <v>3090000</v>
      </c>
      <c r="AE96" s="177">
        <v>3090000</v>
      </c>
      <c r="AF96" s="177">
        <v>3090000</v>
      </c>
      <c r="AG96" s="177">
        <v>3090000</v>
      </c>
      <c r="AH96" s="177">
        <v>3090000</v>
      </c>
      <c r="AI96" s="177">
        <v>3090000</v>
      </c>
      <c r="AJ96" s="177"/>
      <c r="AK96" s="177">
        <v>9270000</v>
      </c>
      <c r="AL96" s="177">
        <v>9270000</v>
      </c>
      <c r="AM96" s="177">
        <v>9270000</v>
      </c>
      <c r="AN96" s="177">
        <v>9270000</v>
      </c>
      <c r="AO96" s="160">
        <v>1</v>
      </c>
      <c r="AP96" s="177">
        <v>37080000</v>
      </c>
      <c r="AQ96" s="177">
        <v>3090000</v>
      </c>
      <c r="AR96" s="177">
        <v>3090000</v>
      </c>
      <c r="AS96" s="177">
        <v>3090000</v>
      </c>
      <c r="AT96" s="177">
        <v>3090000</v>
      </c>
      <c r="AU96" s="177">
        <v>3090000</v>
      </c>
      <c r="AV96" s="177">
        <v>3090000</v>
      </c>
      <c r="AW96" s="177">
        <v>3090000</v>
      </c>
      <c r="AX96" s="177">
        <v>3090000</v>
      </c>
      <c r="AY96" s="177">
        <v>3090000</v>
      </c>
      <c r="AZ96" s="177">
        <v>3090000</v>
      </c>
      <c r="BA96" s="177">
        <v>3090000</v>
      </c>
      <c r="BB96" s="177">
        <v>3090000</v>
      </c>
      <c r="BC96" s="177">
        <v>9270000</v>
      </c>
      <c r="BD96" s="177">
        <v>9270000</v>
      </c>
      <c r="BE96" s="177">
        <v>9270000</v>
      </c>
      <c r="BF96" s="177">
        <v>9270000</v>
      </c>
      <c r="BG96" s="270">
        <v>38400000</v>
      </c>
      <c r="BH96" s="270">
        <v>3200000</v>
      </c>
      <c r="BI96" s="270">
        <v>3200000</v>
      </c>
      <c r="BJ96" s="270">
        <v>3200000</v>
      </c>
      <c r="BK96" s="270">
        <v>3200000</v>
      </c>
      <c r="BL96" s="270">
        <v>3200000</v>
      </c>
      <c r="BM96" s="270">
        <v>3200000</v>
      </c>
      <c r="BN96" s="270">
        <v>3200000</v>
      </c>
      <c r="BO96" s="270">
        <v>3200000</v>
      </c>
      <c r="BP96" s="270">
        <v>3200000</v>
      </c>
      <c r="BQ96" s="299">
        <v>3200000</v>
      </c>
      <c r="BR96" s="270">
        <v>3200000</v>
      </c>
      <c r="BS96" s="270">
        <v>3200000</v>
      </c>
      <c r="BT96" s="177">
        <v>9600000</v>
      </c>
      <c r="BU96" s="177">
        <v>9600000</v>
      </c>
      <c r="BV96" s="177">
        <v>9600000</v>
      </c>
      <c r="BW96" s="177">
        <v>9600000</v>
      </c>
      <c r="BX96" s="269">
        <v>3200000</v>
      </c>
      <c r="BY96" s="270">
        <v>3200000</v>
      </c>
      <c r="BZ96" s="270"/>
      <c r="CA96" s="270"/>
      <c r="CB96" s="270"/>
      <c r="CC96" s="270"/>
      <c r="CD96" s="270"/>
      <c r="CE96" s="270"/>
      <c r="CF96" s="270"/>
      <c r="CG96" s="270"/>
      <c r="CH96" s="270"/>
      <c r="CI96" s="270"/>
      <c r="CJ96" s="270"/>
      <c r="CK96" s="271">
        <v>3200000</v>
      </c>
      <c r="CL96" s="271"/>
      <c r="CM96" s="271"/>
      <c r="CN96" s="271"/>
      <c r="CO96" s="156">
        <f t="shared" si="5"/>
        <v>1320000</v>
      </c>
      <c r="CP96" s="291">
        <f t="shared" si="6"/>
        <v>3.5598705501618123E-2</v>
      </c>
    </row>
    <row r="97" spans="1:94" s="161" customFormat="1" ht="15.5" hidden="1" outlineLevel="1" collapsed="1">
      <c r="A97" s="150" t="str">
        <f t="shared" si="7"/>
        <v>in</v>
      </c>
      <c r="B97" s="150"/>
      <c r="C97" s="157" t="s">
        <v>84</v>
      </c>
      <c r="D97" s="177">
        <v>130543139</v>
      </c>
      <c r="E97" s="177">
        <v>26882179</v>
      </c>
      <c r="F97" s="177">
        <v>0</v>
      </c>
      <c r="G97" s="177">
        <v>0</v>
      </c>
      <c r="H97" s="177">
        <v>-4675021</v>
      </c>
      <c r="I97" s="177">
        <v>31557200</v>
      </c>
      <c r="J97" s="177">
        <v>4860960</v>
      </c>
      <c r="K97" s="177">
        <v>0</v>
      </c>
      <c r="L97" s="177">
        <v>0</v>
      </c>
      <c r="M97" s="177">
        <v>0</v>
      </c>
      <c r="N97" s="177">
        <v>0</v>
      </c>
      <c r="O97" s="177">
        <v>0</v>
      </c>
      <c r="P97" s="177">
        <v>98800000</v>
      </c>
      <c r="Q97" s="177">
        <v>0</v>
      </c>
      <c r="R97" s="177">
        <v>-4675021</v>
      </c>
      <c r="S97" s="177">
        <v>36418160</v>
      </c>
      <c r="T97" s="177">
        <v>0</v>
      </c>
      <c r="U97" s="177">
        <v>98800000</v>
      </c>
      <c r="V97" s="177">
        <v>139140740.74074075</v>
      </c>
      <c r="W97" s="177">
        <v>139140740.74074075</v>
      </c>
      <c r="X97" s="177">
        <v>0</v>
      </c>
      <c r="Y97" s="177">
        <v>0</v>
      </c>
      <c r="Z97" s="177">
        <v>44000000</v>
      </c>
      <c r="AA97" s="177">
        <v>0</v>
      </c>
      <c r="AB97" s="177">
        <v>0</v>
      </c>
      <c r="AC97" s="177">
        <v>0</v>
      </c>
      <c r="AD97" s="177">
        <v>0</v>
      </c>
      <c r="AE97" s="177">
        <v>0</v>
      </c>
      <c r="AF97" s="177">
        <v>0</v>
      </c>
      <c r="AG97" s="177">
        <v>0</v>
      </c>
      <c r="AH97" s="177">
        <v>95140740.740740746</v>
      </c>
      <c r="AI97" s="177">
        <v>0</v>
      </c>
      <c r="AJ97" s="177"/>
      <c r="AK97" s="177">
        <v>44000000</v>
      </c>
      <c r="AL97" s="177">
        <v>0</v>
      </c>
      <c r="AM97" s="177">
        <v>0</v>
      </c>
      <c r="AN97" s="177">
        <v>95140740.740740746</v>
      </c>
      <c r="AO97" s="160">
        <v>1.0658602344527714</v>
      </c>
      <c r="AP97" s="177">
        <v>109989195</v>
      </c>
      <c r="AQ97" s="177">
        <v>0</v>
      </c>
      <c r="AR97" s="177">
        <v>3359200</v>
      </c>
      <c r="AS97" s="177">
        <v>-6074170</v>
      </c>
      <c r="AT97" s="177">
        <v>39147700</v>
      </c>
      <c r="AU97" s="177">
        <v>2371200</v>
      </c>
      <c r="AV97" s="177">
        <v>-1333935</v>
      </c>
      <c r="AW97" s="177">
        <v>2371200</v>
      </c>
      <c r="AX97" s="177">
        <v>0</v>
      </c>
      <c r="AY97" s="177">
        <v>0</v>
      </c>
      <c r="AZ97" s="177">
        <v>-3952000</v>
      </c>
      <c r="BA97" s="177">
        <v>74100000</v>
      </c>
      <c r="BB97" s="177">
        <v>0</v>
      </c>
      <c r="BC97" s="177">
        <v>-2714970</v>
      </c>
      <c r="BD97" s="177">
        <v>40184965</v>
      </c>
      <c r="BE97" s="177">
        <v>2371200</v>
      </c>
      <c r="BF97" s="177">
        <v>70148000</v>
      </c>
      <c r="BG97" s="270">
        <v>125715000</v>
      </c>
      <c r="BH97" s="270">
        <v>0</v>
      </c>
      <c r="BI97" s="270">
        <v>0</v>
      </c>
      <c r="BJ97" s="270">
        <v>40500000</v>
      </c>
      <c r="BK97" s="270">
        <v>0</v>
      </c>
      <c r="BL97" s="270">
        <v>0</v>
      </c>
      <c r="BM97" s="270">
        <v>0</v>
      </c>
      <c r="BN97" s="270">
        <v>0</v>
      </c>
      <c r="BO97" s="270">
        <v>0</v>
      </c>
      <c r="BP97" s="270">
        <v>0</v>
      </c>
      <c r="BQ97" s="299">
        <v>0</v>
      </c>
      <c r="BR97" s="270">
        <v>85215000</v>
      </c>
      <c r="BS97" s="270">
        <v>0</v>
      </c>
      <c r="BT97" s="177">
        <v>40500000</v>
      </c>
      <c r="BU97" s="177">
        <v>0</v>
      </c>
      <c r="BV97" s="177">
        <v>0</v>
      </c>
      <c r="BW97" s="177">
        <v>85215000</v>
      </c>
      <c r="BX97" s="269">
        <v>0</v>
      </c>
      <c r="BY97" s="270">
        <v>0</v>
      </c>
      <c r="BZ97" s="270"/>
      <c r="CA97" s="270"/>
      <c r="CB97" s="270"/>
      <c r="CC97" s="270"/>
      <c r="CD97" s="270"/>
      <c r="CE97" s="270"/>
      <c r="CF97" s="270"/>
      <c r="CG97" s="270"/>
      <c r="CH97" s="270"/>
      <c r="CI97" s="270"/>
      <c r="CJ97" s="270"/>
      <c r="CK97" s="271">
        <v>0</v>
      </c>
      <c r="CL97" s="271"/>
      <c r="CM97" s="271"/>
      <c r="CN97" s="271"/>
      <c r="CO97" s="156">
        <f t="shared" si="5"/>
        <v>15725805</v>
      </c>
      <c r="CP97" s="291">
        <f t="shared" si="6"/>
        <v>0.14297590776984959</v>
      </c>
    </row>
    <row r="98" spans="1:94" s="161" customFormat="1" ht="15.5" hidden="1" outlineLevel="1" collapsed="1">
      <c r="A98" s="150" t="str">
        <f t="shared" si="7"/>
        <v>in</v>
      </c>
      <c r="B98" s="150"/>
      <c r="C98" s="210" t="s">
        <v>87</v>
      </c>
      <c r="D98" s="177">
        <v>527771418</v>
      </c>
      <c r="E98" s="177">
        <v>175640149</v>
      </c>
      <c r="F98" s="177">
        <v>55373768</v>
      </c>
      <c r="G98" s="177">
        <v>43214365</v>
      </c>
      <c r="H98" s="177">
        <v>37662311</v>
      </c>
      <c r="I98" s="177">
        <v>39389705</v>
      </c>
      <c r="J98" s="177">
        <v>39547184</v>
      </c>
      <c r="K98" s="177">
        <v>40587649</v>
      </c>
      <c r="L98" s="177">
        <v>53519932</v>
      </c>
      <c r="M98" s="177">
        <v>48859602</v>
      </c>
      <c r="N98" s="177">
        <v>41433987</v>
      </c>
      <c r="O98" s="177">
        <v>36700986</v>
      </c>
      <c r="P98" s="177">
        <v>40516641</v>
      </c>
      <c r="Q98" s="177">
        <v>50965288</v>
      </c>
      <c r="R98" s="177">
        <v>136250444</v>
      </c>
      <c r="S98" s="177">
        <v>119524538</v>
      </c>
      <c r="T98" s="177">
        <v>143813521</v>
      </c>
      <c r="U98" s="177">
        <v>128182915</v>
      </c>
      <c r="V98" s="177">
        <v>541666000</v>
      </c>
      <c r="W98" s="177">
        <v>541666000</v>
      </c>
      <c r="X98" s="177">
        <v>51072667</v>
      </c>
      <c r="Y98" s="177">
        <v>46572667</v>
      </c>
      <c r="Z98" s="177">
        <v>44072663</v>
      </c>
      <c r="AA98" s="177">
        <v>44072667</v>
      </c>
      <c r="AB98" s="177">
        <v>44072667</v>
      </c>
      <c r="AC98" s="177">
        <v>44866667</v>
      </c>
      <c r="AD98" s="177">
        <v>46572667</v>
      </c>
      <c r="AE98" s="177">
        <v>44072667</v>
      </c>
      <c r="AF98" s="177">
        <v>44072667</v>
      </c>
      <c r="AG98" s="177">
        <v>44072667</v>
      </c>
      <c r="AH98" s="177">
        <v>44072667</v>
      </c>
      <c r="AI98" s="177">
        <v>44072667</v>
      </c>
      <c r="AJ98" s="177"/>
      <c r="AK98" s="177">
        <v>141717997</v>
      </c>
      <c r="AL98" s="177">
        <v>133012001</v>
      </c>
      <c r="AM98" s="177">
        <v>134718001</v>
      </c>
      <c r="AN98" s="177">
        <v>132218001</v>
      </c>
      <c r="AO98" s="160">
        <v>1.0263268936628924</v>
      </c>
      <c r="AP98" s="177">
        <v>386892586</v>
      </c>
      <c r="AQ98" s="177">
        <v>48790777</v>
      </c>
      <c r="AR98" s="177">
        <v>35362050</v>
      </c>
      <c r="AS98" s="177">
        <v>34242810</v>
      </c>
      <c r="AT98" s="177">
        <v>21852886</v>
      </c>
      <c r="AU98" s="177">
        <v>26357244</v>
      </c>
      <c r="AV98" s="177">
        <v>25353339</v>
      </c>
      <c r="AW98" s="177">
        <v>42437139</v>
      </c>
      <c r="AX98" s="177">
        <v>27204760</v>
      </c>
      <c r="AY98" s="177">
        <v>44836845</v>
      </c>
      <c r="AZ98" s="177">
        <v>31632281</v>
      </c>
      <c r="BA98" s="177">
        <v>24177487</v>
      </c>
      <c r="BB98" s="177">
        <v>24644968</v>
      </c>
      <c r="BC98" s="177">
        <v>118395637</v>
      </c>
      <c r="BD98" s="177">
        <v>73563469</v>
      </c>
      <c r="BE98" s="177">
        <v>114478744</v>
      </c>
      <c r="BF98" s="177">
        <v>80454736</v>
      </c>
      <c r="BG98" s="270">
        <v>390734000</v>
      </c>
      <c r="BH98" s="270">
        <v>33769500</v>
      </c>
      <c r="BI98" s="270">
        <v>33769500</v>
      </c>
      <c r="BJ98" s="270">
        <v>34269500</v>
      </c>
      <c r="BK98" s="270">
        <v>32269500</v>
      </c>
      <c r="BL98" s="270">
        <v>29769500</v>
      </c>
      <c r="BM98" s="270">
        <v>33769500</v>
      </c>
      <c r="BN98" s="270">
        <v>31769500</v>
      </c>
      <c r="BO98" s="270">
        <v>32769500</v>
      </c>
      <c r="BP98" s="270">
        <v>29769500</v>
      </c>
      <c r="BQ98" s="299">
        <v>31769500</v>
      </c>
      <c r="BR98" s="270">
        <v>35269500</v>
      </c>
      <c r="BS98" s="270">
        <v>31769500</v>
      </c>
      <c r="BT98" s="177">
        <v>101808500</v>
      </c>
      <c r="BU98" s="177">
        <v>95808500</v>
      </c>
      <c r="BV98" s="177">
        <v>94308500</v>
      </c>
      <c r="BW98" s="177">
        <v>98808500</v>
      </c>
      <c r="BX98" s="269">
        <v>25722572</v>
      </c>
      <c r="BY98" s="270">
        <v>25722572</v>
      </c>
      <c r="BZ98" s="270"/>
      <c r="CA98" s="270"/>
      <c r="CB98" s="270"/>
      <c r="CC98" s="270"/>
      <c r="CD98" s="270"/>
      <c r="CE98" s="270"/>
      <c r="CF98" s="270"/>
      <c r="CG98" s="270"/>
      <c r="CH98" s="270"/>
      <c r="CI98" s="270"/>
      <c r="CJ98" s="270"/>
      <c r="CK98" s="271">
        <v>25722572</v>
      </c>
      <c r="CL98" s="271"/>
      <c r="CM98" s="271"/>
      <c r="CN98" s="271"/>
      <c r="CO98" s="156">
        <f t="shared" si="5"/>
        <v>3841414</v>
      </c>
      <c r="CP98" s="291">
        <f t="shared" si="6"/>
        <v>9.9288901855565676E-3</v>
      </c>
    </row>
    <row r="99" spans="1:94" s="161" customFormat="1" ht="15.5" hidden="1" outlineLevel="1" collapsed="1">
      <c r="A99" s="150" t="str">
        <f t="shared" si="7"/>
        <v>in</v>
      </c>
      <c r="B99" s="150"/>
      <c r="C99" s="157" t="s">
        <v>99</v>
      </c>
      <c r="D99" s="177">
        <v>450000000</v>
      </c>
      <c r="E99" s="177">
        <v>0</v>
      </c>
      <c r="F99" s="177">
        <v>0</v>
      </c>
      <c r="G99" s="177">
        <v>0</v>
      </c>
      <c r="H99" s="177">
        <v>0</v>
      </c>
      <c r="I99" s="177">
        <v>0</v>
      </c>
      <c r="J99" s="177">
        <v>75000000</v>
      </c>
      <c r="K99" s="177">
        <v>180000000</v>
      </c>
      <c r="L99" s="177">
        <v>0</v>
      </c>
      <c r="M99" s="177">
        <v>0</v>
      </c>
      <c r="N99" s="177">
        <v>0</v>
      </c>
      <c r="O99" s="177">
        <v>0</v>
      </c>
      <c r="P99" s="177">
        <v>0</v>
      </c>
      <c r="Q99" s="177">
        <v>195000000</v>
      </c>
      <c r="R99" s="177">
        <v>0</v>
      </c>
      <c r="S99" s="177">
        <v>255000000</v>
      </c>
      <c r="T99" s="177">
        <v>0</v>
      </c>
      <c r="U99" s="177">
        <v>195000000</v>
      </c>
      <c r="V99" s="177">
        <v>390000000</v>
      </c>
      <c r="W99" s="177">
        <v>390000000</v>
      </c>
      <c r="X99" s="177">
        <v>0</v>
      </c>
      <c r="Y99" s="177">
        <v>0</v>
      </c>
      <c r="Z99" s="177">
        <v>0</v>
      </c>
      <c r="AA99" s="177">
        <v>0</v>
      </c>
      <c r="AB99" s="177">
        <v>0</v>
      </c>
      <c r="AC99" s="177">
        <v>195000000</v>
      </c>
      <c r="AD99" s="177">
        <v>0</v>
      </c>
      <c r="AE99" s="177">
        <v>0</v>
      </c>
      <c r="AF99" s="177">
        <v>0</v>
      </c>
      <c r="AG99" s="177">
        <v>0</v>
      </c>
      <c r="AH99" s="177">
        <v>0</v>
      </c>
      <c r="AI99" s="177">
        <v>195000000</v>
      </c>
      <c r="AJ99" s="177"/>
      <c r="AK99" s="177">
        <v>0</v>
      </c>
      <c r="AL99" s="177">
        <v>195000000</v>
      </c>
      <c r="AM99" s="177">
        <v>0</v>
      </c>
      <c r="AN99" s="177">
        <v>195000000</v>
      </c>
      <c r="AO99" s="160">
        <v>0.8666666666666667</v>
      </c>
      <c r="AP99" s="177">
        <v>420000000</v>
      </c>
      <c r="AQ99" s="177">
        <v>0</v>
      </c>
      <c r="AR99" s="177">
        <v>0</v>
      </c>
      <c r="AS99" s="177">
        <v>0</v>
      </c>
      <c r="AT99" s="177">
        <v>0</v>
      </c>
      <c r="AU99" s="177">
        <v>0</v>
      </c>
      <c r="AV99" s="177">
        <v>210000000</v>
      </c>
      <c r="AW99" s="177">
        <v>0</v>
      </c>
      <c r="AX99" s="177">
        <v>0</v>
      </c>
      <c r="AY99" s="177">
        <v>0</v>
      </c>
      <c r="AZ99" s="177">
        <v>0</v>
      </c>
      <c r="BA99" s="177">
        <v>0</v>
      </c>
      <c r="BB99" s="177">
        <v>210000000</v>
      </c>
      <c r="BC99" s="177">
        <v>0</v>
      </c>
      <c r="BD99" s="177">
        <v>210000000</v>
      </c>
      <c r="BE99" s="177">
        <v>0</v>
      </c>
      <c r="BF99" s="177">
        <v>210000000</v>
      </c>
      <c r="BG99" s="270">
        <v>420000000</v>
      </c>
      <c r="BH99" s="270">
        <v>0</v>
      </c>
      <c r="BI99" s="270">
        <v>0</v>
      </c>
      <c r="BJ99" s="270">
        <v>0</v>
      </c>
      <c r="BK99" s="270">
        <v>0</v>
      </c>
      <c r="BL99" s="270">
        <v>0</v>
      </c>
      <c r="BM99" s="270">
        <v>210000000</v>
      </c>
      <c r="BN99" s="270">
        <v>0</v>
      </c>
      <c r="BO99" s="270">
        <v>0</v>
      </c>
      <c r="BP99" s="270">
        <v>0</v>
      </c>
      <c r="BQ99" s="299">
        <v>0</v>
      </c>
      <c r="BR99" s="270">
        <v>0</v>
      </c>
      <c r="BS99" s="270">
        <v>210000000</v>
      </c>
      <c r="BT99" s="177">
        <v>0</v>
      </c>
      <c r="BU99" s="177">
        <v>210000000</v>
      </c>
      <c r="BV99" s="177">
        <v>0</v>
      </c>
      <c r="BW99" s="177">
        <v>210000000</v>
      </c>
      <c r="BX99" s="269">
        <v>0</v>
      </c>
      <c r="BY99" s="270">
        <v>0</v>
      </c>
      <c r="BZ99" s="270"/>
      <c r="CA99" s="270"/>
      <c r="CB99" s="270"/>
      <c r="CC99" s="270"/>
      <c r="CD99" s="270"/>
      <c r="CE99" s="270"/>
      <c r="CF99" s="270"/>
      <c r="CG99" s="270"/>
      <c r="CH99" s="270"/>
      <c r="CI99" s="270"/>
      <c r="CJ99" s="270"/>
      <c r="CK99" s="271">
        <v>0</v>
      </c>
      <c r="CL99" s="271"/>
      <c r="CM99" s="271"/>
      <c r="CN99" s="271"/>
      <c r="CO99" s="156">
        <f t="shared" si="5"/>
        <v>0</v>
      </c>
      <c r="CP99" s="291">
        <f t="shared" si="6"/>
        <v>0</v>
      </c>
    </row>
    <row r="100" spans="1:94" s="161" customFormat="1" ht="15.5" hidden="1" outlineLevel="1" collapsed="1">
      <c r="A100" s="150" t="str">
        <f t="shared" si="7"/>
        <v>in</v>
      </c>
      <c r="B100" s="150"/>
      <c r="C100" s="210" t="s">
        <v>100</v>
      </c>
      <c r="D100" s="177">
        <v>287167102</v>
      </c>
      <c r="E100" s="177">
        <v>110095741</v>
      </c>
      <c r="F100" s="177">
        <v>50323519</v>
      </c>
      <c r="G100" s="177">
        <v>0</v>
      </c>
      <c r="H100" s="177">
        <v>35281481</v>
      </c>
      <c r="I100" s="177">
        <v>24490741</v>
      </c>
      <c r="J100" s="177">
        <v>20517852</v>
      </c>
      <c r="K100" s="177">
        <v>7994482</v>
      </c>
      <c r="L100" s="177">
        <v>49947038</v>
      </c>
      <c r="M100" s="177">
        <v>15384815</v>
      </c>
      <c r="N100" s="177">
        <v>14552852</v>
      </c>
      <c r="O100" s="177">
        <v>24127852</v>
      </c>
      <c r="P100" s="177">
        <v>6758370</v>
      </c>
      <c r="Q100" s="177">
        <v>37788100</v>
      </c>
      <c r="R100" s="177">
        <v>85605000</v>
      </c>
      <c r="S100" s="177">
        <v>53003075</v>
      </c>
      <c r="T100" s="177">
        <v>79884705</v>
      </c>
      <c r="U100" s="177">
        <v>68674322</v>
      </c>
      <c r="V100" s="177">
        <v>330000000</v>
      </c>
      <c r="W100" s="177">
        <v>330000000</v>
      </c>
      <c r="X100" s="177">
        <v>0</v>
      </c>
      <c r="Y100" s="177">
        <v>10000000</v>
      </c>
      <c r="Z100" s="177">
        <v>32000000</v>
      </c>
      <c r="AA100" s="177">
        <v>32000000</v>
      </c>
      <c r="AB100" s="177">
        <v>32000000</v>
      </c>
      <c r="AC100" s="177">
        <v>32000000</v>
      </c>
      <c r="AD100" s="177">
        <v>32000000</v>
      </c>
      <c r="AE100" s="177">
        <v>32000000</v>
      </c>
      <c r="AF100" s="177">
        <v>32000000</v>
      </c>
      <c r="AG100" s="177">
        <v>32000000</v>
      </c>
      <c r="AH100" s="177">
        <v>32000000</v>
      </c>
      <c r="AI100" s="177">
        <v>32000000</v>
      </c>
      <c r="AJ100" s="177"/>
      <c r="AK100" s="177">
        <v>42000000</v>
      </c>
      <c r="AL100" s="177">
        <v>96000000</v>
      </c>
      <c r="AM100" s="177">
        <v>96000000</v>
      </c>
      <c r="AN100" s="177">
        <v>96000000</v>
      </c>
      <c r="AO100" s="160">
        <v>1.1491567024972102</v>
      </c>
      <c r="AP100" s="177">
        <v>68595174</v>
      </c>
      <c r="AQ100" s="177">
        <v>0</v>
      </c>
      <c r="AR100" s="177">
        <v>9466704</v>
      </c>
      <c r="AS100" s="177">
        <v>0</v>
      </c>
      <c r="AT100" s="177">
        <v>8183193</v>
      </c>
      <c r="AU100" s="177">
        <v>0</v>
      </c>
      <c r="AV100" s="177">
        <v>13440814</v>
      </c>
      <c r="AW100" s="177">
        <v>21027057</v>
      </c>
      <c r="AX100" s="177">
        <v>0</v>
      </c>
      <c r="AY100" s="177">
        <v>0</v>
      </c>
      <c r="AZ100" s="177">
        <v>0</v>
      </c>
      <c r="BA100" s="177">
        <v>7022629</v>
      </c>
      <c r="BB100" s="177">
        <v>9454777</v>
      </c>
      <c r="BC100" s="177">
        <v>9466704</v>
      </c>
      <c r="BD100" s="177">
        <v>21624007</v>
      </c>
      <c r="BE100" s="177">
        <v>21027057</v>
      </c>
      <c r="BF100" s="177">
        <v>16477406</v>
      </c>
      <c r="BG100" s="270">
        <v>72000000</v>
      </c>
      <c r="BH100" s="270">
        <v>6000000</v>
      </c>
      <c r="BI100" s="270">
        <v>6000000</v>
      </c>
      <c r="BJ100" s="270">
        <v>6000000</v>
      </c>
      <c r="BK100" s="270">
        <v>6000000</v>
      </c>
      <c r="BL100" s="270">
        <v>6000000</v>
      </c>
      <c r="BM100" s="270">
        <v>6000000</v>
      </c>
      <c r="BN100" s="270">
        <v>6000000</v>
      </c>
      <c r="BO100" s="270">
        <v>6000000</v>
      </c>
      <c r="BP100" s="270">
        <v>6000000</v>
      </c>
      <c r="BQ100" s="299">
        <v>6000000</v>
      </c>
      <c r="BR100" s="270">
        <v>6000000</v>
      </c>
      <c r="BS100" s="270">
        <v>6000000</v>
      </c>
      <c r="BT100" s="177">
        <v>18000000</v>
      </c>
      <c r="BU100" s="177">
        <v>18000000</v>
      </c>
      <c r="BV100" s="177">
        <v>18000000</v>
      </c>
      <c r="BW100" s="177">
        <v>18000000</v>
      </c>
      <c r="BX100" s="269">
        <v>34536849</v>
      </c>
      <c r="BY100" s="270">
        <v>34536849</v>
      </c>
      <c r="BZ100" s="270"/>
      <c r="CA100" s="270"/>
      <c r="CB100" s="270"/>
      <c r="CC100" s="270"/>
      <c r="CD100" s="270"/>
      <c r="CE100" s="270"/>
      <c r="CF100" s="270"/>
      <c r="CG100" s="270"/>
      <c r="CH100" s="270"/>
      <c r="CI100" s="270"/>
      <c r="CJ100" s="270"/>
      <c r="CK100" s="271">
        <v>34536849</v>
      </c>
      <c r="CL100" s="271"/>
      <c r="CM100" s="271"/>
      <c r="CN100" s="271"/>
      <c r="CO100" s="156">
        <f t="shared" si="5"/>
        <v>3404826</v>
      </c>
      <c r="CP100" s="291">
        <f t="shared" si="6"/>
        <v>4.9636523992198055E-2</v>
      </c>
    </row>
    <row r="101" spans="1:94" s="161" customFormat="1" ht="15.5" hidden="1" outlineLevel="1" collapsed="1">
      <c r="A101" s="150" t="str">
        <f t="shared" si="7"/>
        <v>in</v>
      </c>
      <c r="B101" s="150"/>
      <c r="C101" s="157" t="s">
        <v>98</v>
      </c>
      <c r="D101" s="177">
        <v>230530000</v>
      </c>
      <c r="E101" s="177">
        <v>77650000</v>
      </c>
      <c r="F101" s="177">
        <v>18670000</v>
      </c>
      <c r="G101" s="177">
        <v>20260000</v>
      </c>
      <c r="H101" s="177">
        <v>20190000</v>
      </c>
      <c r="I101" s="177">
        <v>18530000</v>
      </c>
      <c r="J101" s="177">
        <v>18880000</v>
      </c>
      <c r="K101" s="177">
        <v>19580000</v>
      </c>
      <c r="L101" s="177">
        <v>19650000</v>
      </c>
      <c r="M101" s="177">
        <v>19930000</v>
      </c>
      <c r="N101" s="177">
        <v>20070000</v>
      </c>
      <c r="O101" s="177">
        <v>19020000</v>
      </c>
      <c r="P101" s="177">
        <v>18810000</v>
      </c>
      <c r="Q101" s="177">
        <v>16940000</v>
      </c>
      <c r="R101" s="177">
        <v>59120000</v>
      </c>
      <c r="S101" s="177">
        <v>56990000</v>
      </c>
      <c r="T101" s="177">
        <v>59650000</v>
      </c>
      <c r="U101" s="177">
        <v>54770000</v>
      </c>
      <c r="V101" s="177">
        <v>204000000</v>
      </c>
      <c r="W101" s="177">
        <v>204000000</v>
      </c>
      <c r="X101" s="177">
        <v>17000000</v>
      </c>
      <c r="Y101" s="177">
        <v>17000000</v>
      </c>
      <c r="Z101" s="177">
        <v>17000000</v>
      </c>
      <c r="AA101" s="177">
        <v>17000000</v>
      </c>
      <c r="AB101" s="177">
        <v>17000000</v>
      </c>
      <c r="AC101" s="177">
        <v>17000000</v>
      </c>
      <c r="AD101" s="177">
        <v>17000000</v>
      </c>
      <c r="AE101" s="177">
        <v>17000000</v>
      </c>
      <c r="AF101" s="177">
        <v>17000000</v>
      </c>
      <c r="AG101" s="177">
        <v>17000000</v>
      </c>
      <c r="AH101" s="177">
        <v>17000000</v>
      </c>
      <c r="AI101" s="177">
        <v>17000000</v>
      </c>
      <c r="AJ101" s="177"/>
      <c r="AK101" s="177">
        <v>51000000</v>
      </c>
      <c r="AL101" s="177">
        <v>51000000</v>
      </c>
      <c r="AM101" s="177">
        <v>51000000</v>
      </c>
      <c r="AN101" s="177">
        <v>51000000</v>
      </c>
      <c r="AO101" s="160">
        <v>0.88491736433435997</v>
      </c>
      <c r="AP101" s="177">
        <v>183580000</v>
      </c>
      <c r="AQ101" s="177">
        <v>17220000</v>
      </c>
      <c r="AR101" s="177">
        <v>15490000</v>
      </c>
      <c r="AS101" s="177">
        <v>15490000</v>
      </c>
      <c r="AT101" s="177">
        <v>13550000</v>
      </c>
      <c r="AU101" s="177">
        <v>14450000</v>
      </c>
      <c r="AV101" s="177">
        <v>15770000</v>
      </c>
      <c r="AW101" s="177">
        <v>15680000</v>
      </c>
      <c r="AX101" s="177">
        <v>15510000</v>
      </c>
      <c r="AY101" s="177">
        <v>15350000</v>
      </c>
      <c r="AZ101" s="177">
        <v>15000000</v>
      </c>
      <c r="BA101" s="177">
        <v>15000000</v>
      </c>
      <c r="BB101" s="177">
        <v>15070000</v>
      </c>
      <c r="BC101" s="177">
        <v>48200000</v>
      </c>
      <c r="BD101" s="177">
        <v>43770000</v>
      </c>
      <c r="BE101" s="177">
        <v>46540000</v>
      </c>
      <c r="BF101" s="177">
        <v>45070000</v>
      </c>
      <c r="BG101" s="270">
        <v>186000000</v>
      </c>
      <c r="BH101" s="270">
        <v>15500000</v>
      </c>
      <c r="BI101" s="270">
        <v>15500000</v>
      </c>
      <c r="BJ101" s="270">
        <v>15500000</v>
      </c>
      <c r="BK101" s="270">
        <v>15500000</v>
      </c>
      <c r="BL101" s="270">
        <v>15500000</v>
      </c>
      <c r="BM101" s="270">
        <v>15500000</v>
      </c>
      <c r="BN101" s="270">
        <v>15500000</v>
      </c>
      <c r="BO101" s="270">
        <v>15500000</v>
      </c>
      <c r="BP101" s="270">
        <v>15500000</v>
      </c>
      <c r="BQ101" s="299">
        <v>15500000</v>
      </c>
      <c r="BR101" s="270">
        <v>15500000</v>
      </c>
      <c r="BS101" s="270">
        <v>15500000</v>
      </c>
      <c r="BT101" s="177">
        <v>46500000</v>
      </c>
      <c r="BU101" s="177">
        <v>46500000</v>
      </c>
      <c r="BV101" s="177">
        <v>46500000</v>
      </c>
      <c r="BW101" s="177">
        <v>46500000</v>
      </c>
      <c r="BX101" s="269">
        <v>15180000</v>
      </c>
      <c r="BY101" s="270">
        <v>15180000</v>
      </c>
      <c r="BZ101" s="270"/>
      <c r="CA101" s="270"/>
      <c r="CB101" s="270"/>
      <c r="CC101" s="270"/>
      <c r="CD101" s="270"/>
      <c r="CE101" s="270"/>
      <c r="CF101" s="270"/>
      <c r="CG101" s="270"/>
      <c r="CH101" s="270"/>
      <c r="CI101" s="270"/>
      <c r="CJ101" s="270"/>
      <c r="CK101" s="271">
        <v>15180000</v>
      </c>
      <c r="CL101" s="271"/>
      <c r="CM101" s="271"/>
      <c r="CN101" s="271"/>
      <c r="CO101" s="156">
        <f t="shared" si="5"/>
        <v>2420000</v>
      </c>
      <c r="CP101" s="291">
        <f t="shared" si="6"/>
        <v>1.3182263863165922E-2</v>
      </c>
    </row>
    <row r="102" spans="1:94" s="161" customFormat="1" ht="15.5" hidden="1" outlineLevel="1" collapsed="1">
      <c r="A102" s="150" t="str">
        <f t="shared" si="7"/>
        <v>in</v>
      </c>
      <c r="B102" s="150"/>
      <c r="C102" s="157" t="s">
        <v>101</v>
      </c>
      <c r="D102" s="177">
        <v>794623611</v>
      </c>
      <c r="E102" s="177">
        <v>346332835</v>
      </c>
      <c r="F102" s="177">
        <v>99171583</v>
      </c>
      <c r="G102" s="177">
        <v>30742259</v>
      </c>
      <c r="H102" s="177">
        <v>193122862</v>
      </c>
      <c r="I102" s="177">
        <v>23296131</v>
      </c>
      <c r="J102" s="177">
        <v>35827353</v>
      </c>
      <c r="K102" s="177">
        <v>11213506</v>
      </c>
      <c r="L102" s="177">
        <v>75782795</v>
      </c>
      <c r="M102" s="177">
        <v>66926239</v>
      </c>
      <c r="N102" s="177">
        <v>72636368</v>
      </c>
      <c r="O102" s="177">
        <v>20033562</v>
      </c>
      <c r="P102" s="177">
        <v>64960939</v>
      </c>
      <c r="Q102" s="177">
        <v>100910014</v>
      </c>
      <c r="R102" s="177">
        <v>323036704</v>
      </c>
      <c r="S102" s="177">
        <v>70336990</v>
      </c>
      <c r="T102" s="177">
        <v>215345402</v>
      </c>
      <c r="U102" s="177">
        <v>185904515</v>
      </c>
      <c r="V102" s="177">
        <v>1022851852</v>
      </c>
      <c r="W102" s="177">
        <v>1022851852</v>
      </c>
      <c r="X102" s="177">
        <v>185851852</v>
      </c>
      <c r="Y102" s="177">
        <v>235000000</v>
      </c>
      <c r="Z102" s="177">
        <v>41000000</v>
      </c>
      <c r="AA102" s="177">
        <v>44000000</v>
      </c>
      <c r="AB102" s="177">
        <v>39000000</v>
      </c>
      <c r="AC102" s="177">
        <v>94000000</v>
      </c>
      <c r="AD102" s="177">
        <v>39000000</v>
      </c>
      <c r="AE102" s="177">
        <v>44000000</v>
      </c>
      <c r="AF102" s="177">
        <v>79000000</v>
      </c>
      <c r="AG102" s="177">
        <v>119000000</v>
      </c>
      <c r="AH102" s="177">
        <v>49000000</v>
      </c>
      <c r="AI102" s="177">
        <v>54000000</v>
      </c>
      <c r="AJ102" s="177"/>
      <c r="AK102" s="177">
        <v>461851852</v>
      </c>
      <c r="AL102" s="177">
        <v>177000000</v>
      </c>
      <c r="AM102" s="177">
        <v>162000000</v>
      </c>
      <c r="AN102" s="177">
        <v>222000000</v>
      </c>
      <c r="AO102" s="160">
        <v>1.2872155292652134</v>
      </c>
      <c r="AP102" s="177">
        <v>1247954413</v>
      </c>
      <c r="AQ102" s="177">
        <v>172269401</v>
      </c>
      <c r="AR102" s="177">
        <v>60315430</v>
      </c>
      <c r="AS102" s="177">
        <v>38555170</v>
      </c>
      <c r="AT102" s="177">
        <v>64994641</v>
      </c>
      <c r="AU102" s="177">
        <v>30584030</v>
      </c>
      <c r="AV102" s="177">
        <v>61620791</v>
      </c>
      <c r="AW102" s="177">
        <v>42375065</v>
      </c>
      <c r="AX102" s="177">
        <v>66991526</v>
      </c>
      <c r="AY102" s="177">
        <v>118975923</v>
      </c>
      <c r="AZ102" s="177">
        <v>411537541</v>
      </c>
      <c r="BA102" s="177">
        <v>115437174</v>
      </c>
      <c r="BB102" s="177">
        <v>64297721</v>
      </c>
      <c r="BC102" s="177">
        <v>271140001</v>
      </c>
      <c r="BD102" s="177">
        <v>157199462</v>
      </c>
      <c r="BE102" s="177">
        <v>228342514</v>
      </c>
      <c r="BF102" s="177">
        <v>591272436</v>
      </c>
      <c r="BG102" s="270">
        <v>1650000000</v>
      </c>
      <c r="BH102" s="270">
        <v>72000000</v>
      </c>
      <c r="BI102" s="270">
        <v>203000000</v>
      </c>
      <c r="BJ102" s="270">
        <v>107000000</v>
      </c>
      <c r="BK102" s="270">
        <v>132000000</v>
      </c>
      <c r="BL102" s="270">
        <v>102000000</v>
      </c>
      <c r="BM102" s="270">
        <v>152000000</v>
      </c>
      <c r="BN102" s="270">
        <v>97000000</v>
      </c>
      <c r="BO102" s="270">
        <v>97000000</v>
      </c>
      <c r="BP102" s="270">
        <v>142000000</v>
      </c>
      <c r="BQ102" s="299">
        <v>202000000</v>
      </c>
      <c r="BR102" s="270">
        <v>97000000</v>
      </c>
      <c r="BS102" s="270">
        <v>247000000</v>
      </c>
      <c r="BT102" s="177">
        <v>382000000</v>
      </c>
      <c r="BU102" s="177">
        <v>386000000</v>
      </c>
      <c r="BV102" s="177">
        <v>336000000</v>
      </c>
      <c r="BW102" s="177">
        <v>546000000</v>
      </c>
      <c r="BX102" s="269">
        <v>64515768</v>
      </c>
      <c r="BY102" s="270">
        <v>64515768</v>
      </c>
      <c r="BZ102" s="270"/>
      <c r="CA102" s="270"/>
      <c r="CB102" s="270"/>
      <c r="CC102" s="270"/>
      <c r="CD102" s="270"/>
      <c r="CE102" s="270"/>
      <c r="CF102" s="270"/>
      <c r="CG102" s="270"/>
      <c r="CH102" s="270"/>
      <c r="CI102" s="270"/>
      <c r="CJ102" s="270"/>
      <c r="CK102" s="271">
        <v>64515768</v>
      </c>
      <c r="CL102" s="271"/>
      <c r="CM102" s="271"/>
      <c r="CN102" s="271"/>
      <c r="CO102" s="156">
        <f t="shared" si="5"/>
        <v>402045587</v>
      </c>
      <c r="CP102" s="291">
        <f t="shared" si="6"/>
        <v>0.32216368066963996</v>
      </c>
    </row>
    <row r="103" spans="1:94" s="161" customFormat="1" ht="15.5" hidden="1" outlineLevel="1" collapsed="1">
      <c r="A103" s="150" t="str">
        <f t="shared" si="7"/>
        <v>in</v>
      </c>
      <c r="B103" s="150"/>
      <c r="C103" s="157" t="s">
        <v>113</v>
      </c>
      <c r="D103" s="177">
        <v>99040224</v>
      </c>
      <c r="E103" s="177">
        <v>50500000</v>
      </c>
      <c r="F103" s="177">
        <v>0</v>
      </c>
      <c r="G103" s="177">
        <v>0</v>
      </c>
      <c r="H103" s="177">
        <v>40000000</v>
      </c>
      <c r="I103" s="177">
        <v>10500000</v>
      </c>
      <c r="J103" s="177">
        <v>37481891</v>
      </c>
      <c r="K103" s="177">
        <v>11058333</v>
      </c>
      <c r="L103" s="177">
        <v>0</v>
      </c>
      <c r="M103" s="177">
        <v>0</v>
      </c>
      <c r="N103" s="177">
        <v>0</v>
      </c>
      <c r="O103" s="177">
        <v>0</v>
      </c>
      <c r="P103" s="177">
        <v>0</v>
      </c>
      <c r="Q103" s="177">
        <v>0</v>
      </c>
      <c r="R103" s="177">
        <v>40000000</v>
      </c>
      <c r="S103" s="177">
        <v>59040224</v>
      </c>
      <c r="T103" s="177">
        <v>0</v>
      </c>
      <c r="U103" s="177">
        <v>0</v>
      </c>
      <c r="V103" s="177">
        <v>143500000</v>
      </c>
      <c r="W103" s="177">
        <v>143500000</v>
      </c>
      <c r="X103" s="177">
        <v>0</v>
      </c>
      <c r="Y103" s="177">
        <v>40000000</v>
      </c>
      <c r="Z103" s="177">
        <v>0</v>
      </c>
      <c r="AA103" s="177">
        <v>0</v>
      </c>
      <c r="AB103" s="177">
        <v>103500000</v>
      </c>
      <c r="AC103" s="177">
        <v>0</v>
      </c>
      <c r="AD103" s="177">
        <v>0</v>
      </c>
      <c r="AE103" s="177">
        <v>0</v>
      </c>
      <c r="AF103" s="177">
        <v>0</v>
      </c>
      <c r="AG103" s="177">
        <v>0</v>
      </c>
      <c r="AH103" s="177">
        <v>0</v>
      </c>
      <c r="AI103" s="177">
        <v>0</v>
      </c>
      <c r="AJ103" s="177"/>
      <c r="AK103" s="177">
        <v>40000000</v>
      </c>
      <c r="AL103" s="177">
        <v>103500000</v>
      </c>
      <c r="AM103" s="177">
        <v>0</v>
      </c>
      <c r="AN103" s="177">
        <v>0</v>
      </c>
      <c r="AO103" s="160">
        <v>1.4489062544931239</v>
      </c>
      <c r="AP103" s="177">
        <v>140221485</v>
      </c>
      <c r="AQ103" s="177">
        <v>0</v>
      </c>
      <c r="AR103" s="177">
        <v>40000000</v>
      </c>
      <c r="AS103" s="177">
        <v>0</v>
      </c>
      <c r="AT103" s="177">
        <v>13200000</v>
      </c>
      <c r="AU103" s="177">
        <v>10500000</v>
      </c>
      <c r="AV103" s="177">
        <v>66551312</v>
      </c>
      <c r="AW103" s="177">
        <v>9970173</v>
      </c>
      <c r="AX103" s="177">
        <v>0</v>
      </c>
      <c r="AY103" s="177">
        <v>0</v>
      </c>
      <c r="AZ103" s="177">
        <v>0</v>
      </c>
      <c r="BA103" s="177">
        <v>0</v>
      </c>
      <c r="BB103" s="177">
        <v>0</v>
      </c>
      <c r="BC103" s="177">
        <v>40000000</v>
      </c>
      <c r="BD103" s="177">
        <v>90251312</v>
      </c>
      <c r="BE103" s="177">
        <v>9970173</v>
      </c>
      <c r="BF103" s="177">
        <v>0</v>
      </c>
      <c r="BG103" s="270">
        <v>175900000</v>
      </c>
      <c r="BH103" s="270">
        <v>40000000</v>
      </c>
      <c r="BI103" s="270">
        <v>0</v>
      </c>
      <c r="BJ103" s="270">
        <v>0</v>
      </c>
      <c r="BK103" s="270">
        <v>18000000</v>
      </c>
      <c r="BL103" s="270">
        <v>115500000</v>
      </c>
      <c r="BM103" s="270">
        <v>2400000</v>
      </c>
      <c r="BN103" s="270">
        <v>0</v>
      </c>
      <c r="BO103" s="270">
        <v>0</v>
      </c>
      <c r="BP103" s="270">
        <v>0</v>
      </c>
      <c r="BQ103" s="299">
        <v>0</v>
      </c>
      <c r="BR103" s="270">
        <v>0</v>
      </c>
      <c r="BS103" s="270">
        <v>0</v>
      </c>
      <c r="BT103" s="177">
        <v>40000000</v>
      </c>
      <c r="BU103" s="177">
        <v>135900000</v>
      </c>
      <c r="BV103" s="177">
        <v>0</v>
      </c>
      <c r="BW103" s="177">
        <v>0</v>
      </c>
      <c r="BX103" s="269">
        <v>40000000</v>
      </c>
      <c r="BY103" s="270">
        <v>40000000</v>
      </c>
      <c r="BZ103" s="270"/>
      <c r="CA103" s="270"/>
      <c r="CB103" s="270"/>
      <c r="CC103" s="270"/>
      <c r="CD103" s="270"/>
      <c r="CE103" s="270"/>
      <c r="CF103" s="270"/>
      <c r="CG103" s="270"/>
      <c r="CH103" s="270"/>
      <c r="CI103" s="270"/>
      <c r="CJ103" s="270"/>
      <c r="CK103" s="271">
        <v>40000000</v>
      </c>
      <c r="CL103" s="271"/>
      <c r="CM103" s="271"/>
      <c r="CN103" s="271"/>
      <c r="CO103" s="156">
        <f t="shared" si="5"/>
        <v>35678515</v>
      </c>
      <c r="CP103" s="291">
        <f t="shared" si="6"/>
        <v>0.25444399622497221</v>
      </c>
    </row>
    <row r="104" spans="1:94" s="161" customFormat="1" ht="15.5" hidden="1" outlineLevel="1" collapsed="1">
      <c r="A104" s="150" t="str">
        <f t="shared" si="7"/>
        <v>in</v>
      </c>
      <c r="B104" s="150"/>
      <c r="C104" s="157" t="s">
        <v>120</v>
      </c>
      <c r="D104" s="177">
        <v>98583171</v>
      </c>
      <c r="E104" s="177">
        <v>0</v>
      </c>
      <c r="F104" s="177">
        <v>0</v>
      </c>
      <c r="G104" s="177">
        <v>0</v>
      </c>
      <c r="H104" s="177">
        <v>0</v>
      </c>
      <c r="I104" s="177">
        <v>0</v>
      </c>
      <c r="J104" s="177">
        <v>0</v>
      </c>
      <c r="K104" s="177">
        <v>0</v>
      </c>
      <c r="L104" s="177">
        <v>46116000</v>
      </c>
      <c r="M104" s="177">
        <v>37000000</v>
      </c>
      <c r="N104" s="177">
        <v>0</v>
      </c>
      <c r="O104" s="177">
        <v>0</v>
      </c>
      <c r="P104" s="177">
        <v>15467171</v>
      </c>
      <c r="Q104" s="177">
        <v>0</v>
      </c>
      <c r="R104" s="177">
        <v>0</v>
      </c>
      <c r="S104" s="177">
        <v>0</v>
      </c>
      <c r="T104" s="177">
        <v>83116000</v>
      </c>
      <c r="U104" s="177">
        <v>15467171</v>
      </c>
      <c r="V104" s="177">
        <v>115740740.74074075</v>
      </c>
      <c r="W104" s="177">
        <v>115740740.74074075</v>
      </c>
      <c r="X104" s="177">
        <v>0</v>
      </c>
      <c r="Y104" s="177">
        <v>0</v>
      </c>
      <c r="Z104" s="177">
        <v>0</v>
      </c>
      <c r="AA104" s="177">
        <v>18518518.518518519</v>
      </c>
      <c r="AB104" s="177">
        <v>32407407.407407407</v>
      </c>
      <c r="AC104" s="177">
        <v>0</v>
      </c>
      <c r="AD104" s="177">
        <v>27777777.777777776</v>
      </c>
      <c r="AE104" s="177">
        <v>0</v>
      </c>
      <c r="AF104" s="177">
        <v>18518518.518518519</v>
      </c>
      <c r="AG104" s="177">
        <v>0</v>
      </c>
      <c r="AH104" s="177">
        <v>18518518.518518519</v>
      </c>
      <c r="AI104" s="177">
        <v>0</v>
      </c>
      <c r="AJ104" s="177"/>
      <c r="AK104" s="177">
        <v>0</v>
      </c>
      <c r="AL104" s="177">
        <v>50925925.925925925</v>
      </c>
      <c r="AM104" s="177">
        <v>46296296.296296299</v>
      </c>
      <c r="AN104" s="177">
        <v>18518518.518518519</v>
      </c>
      <c r="AO104" s="160">
        <v>1.1740415688265977</v>
      </c>
      <c r="AP104" s="177">
        <v>32960000</v>
      </c>
      <c r="AQ104" s="177">
        <v>0</v>
      </c>
      <c r="AR104" s="177">
        <v>0</v>
      </c>
      <c r="AS104" s="177">
        <v>0</v>
      </c>
      <c r="AT104" s="177">
        <v>0</v>
      </c>
      <c r="AU104" s="177">
        <v>0</v>
      </c>
      <c r="AV104" s="177">
        <v>0</v>
      </c>
      <c r="AW104" s="177">
        <v>32960000</v>
      </c>
      <c r="AX104" s="177">
        <v>0</v>
      </c>
      <c r="AY104" s="177">
        <v>0</v>
      </c>
      <c r="AZ104" s="177">
        <v>0</v>
      </c>
      <c r="BA104" s="177">
        <v>0</v>
      </c>
      <c r="BB104" s="177">
        <v>0</v>
      </c>
      <c r="BC104" s="177">
        <v>0</v>
      </c>
      <c r="BD104" s="177">
        <v>0</v>
      </c>
      <c r="BE104" s="177">
        <v>32960000</v>
      </c>
      <c r="BF104" s="177">
        <v>0</v>
      </c>
      <c r="BG104" s="270">
        <v>100000000</v>
      </c>
      <c r="BH104" s="270">
        <v>0</v>
      </c>
      <c r="BI104" s="270">
        <v>0</v>
      </c>
      <c r="BJ104" s="270">
        <v>10000000</v>
      </c>
      <c r="BK104" s="270">
        <v>0</v>
      </c>
      <c r="BL104" s="270">
        <v>10000000</v>
      </c>
      <c r="BM104" s="270">
        <v>0</v>
      </c>
      <c r="BN104" s="270">
        <v>46000000</v>
      </c>
      <c r="BO104" s="270">
        <v>10000000</v>
      </c>
      <c r="BP104" s="270">
        <v>10000000</v>
      </c>
      <c r="BQ104" s="299">
        <v>0</v>
      </c>
      <c r="BR104" s="270">
        <v>14000000</v>
      </c>
      <c r="BS104" s="270">
        <v>0</v>
      </c>
      <c r="BT104" s="177">
        <v>10000000</v>
      </c>
      <c r="BU104" s="177">
        <v>10000000</v>
      </c>
      <c r="BV104" s="177">
        <v>66000000</v>
      </c>
      <c r="BW104" s="177">
        <v>14000000</v>
      </c>
      <c r="BX104" s="269">
        <v>0</v>
      </c>
      <c r="BY104" s="270">
        <v>0</v>
      </c>
      <c r="BZ104" s="270"/>
      <c r="CA104" s="270"/>
      <c r="CB104" s="270"/>
      <c r="CC104" s="270"/>
      <c r="CD104" s="270"/>
      <c r="CE104" s="270"/>
      <c r="CF104" s="270"/>
      <c r="CG104" s="270"/>
      <c r="CH104" s="270"/>
      <c r="CI104" s="270"/>
      <c r="CJ104" s="270"/>
      <c r="CK104" s="271">
        <v>0</v>
      </c>
      <c r="CL104" s="271"/>
      <c r="CM104" s="271"/>
      <c r="CN104" s="271"/>
      <c r="CO104" s="156">
        <f t="shared" si="5"/>
        <v>67040000</v>
      </c>
      <c r="CP104" s="291">
        <f t="shared" si="6"/>
        <v>2.0339805825242721</v>
      </c>
    </row>
    <row r="105" spans="1:94" s="161" customFormat="1" ht="15.5" hidden="1" outlineLevel="1" collapsed="1">
      <c r="A105" s="150" t="str">
        <f t="shared" si="7"/>
        <v>in</v>
      </c>
      <c r="B105" s="150"/>
      <c r="C105" s="157" t="s">
        <v>123</v>
      </c>
      <c r="D105" s="177">
        <v>3189648148</v>
      </c>
      <c r="E105" s="177">
        <v>30898148</v>
      </c>
      <c r="F105" s="177">
        <v>10898148</v>
      </c>
      <c r="G105" s="177">
        <v>0</v>
      </c>
      <c r="H105" s="177">
        <v>20000000</v>
      </c>
      <c r="I105" s="177">
        <v>0</v>
      </c>
      <c r="J105" s="177">
        <v>0</v>
      </c>
      <c r="K105" s="177">
        <v>0</v>
      </c>
      <c r="L105" s="177">
        <v>0</v>
      </c>
      <c r="M105" s="177">
        <v>0</v>
      </c>
      <c r="N105" s="177">
        <v>90000000</v>
      </c>
      <c r="O105" s="177">
        <v>0</v>
      </c>
      <c r="P105" s="177">
        <v>3000000000</v>
      </c>
      <c r="Q105" s="177">
        <v>68750000</v>
      </c>
      <c r="R105" s="177">
        <v>30898148</v>
      </c>
      <c r="S105" s="177">
        <v>0</v>
      </c>
      <c r="T105" s="177">
        <v>90000000</v>
      </c>
      <c r="U105" s="177">
        <v>3068750000</v>
      </c>
      <c r="V105" s="177">
        <v>1505000000.0000002</v>
      </c>
      <c r="W105" s="177">
        <v>1505000000.0000002</v>
      </c>
      <c r="X105" s="177">
        <v>125416666.66666667</v>
      </c>
      <c r="Y105" s="177">
        <v>125416666.66666667</v>
      </c>
      <c r="Z105" s="177">
        <v>125416666.66666667</v>
      </c>
      <c r="AA105" s="177">
        <v>125416666.66666667</v>
      </c>
      <c r="AB105" s="177">
        <v>125416666.66666667</v>
      </c>
      <c r="AC105" s="177">
        <v>125416666.66666667</v>
      </c>
      <c r="AD105" s="177">
        <v>125416666.66666667</v>
      </c>
      <c r="AE105" s="177">
        <v>125416666.66666667</v>
      </c>
      <c r="AF105" s="177">
        <v>125416666.66666667</v>
      </c>
      <c r="AG105" s="177">
        <v>125416666.66666667</v>
      </c>
      <c r="AH105" s="177">
        <v>125416666.66666667</v>
      </c>
      <c r="AI105" s="177">
        <v>125416666.66666667</v>
      </c>
      <c r="AJ105" s="177"/>
      <c r="AK105" s="177">
        <v>376250000</v>
      </c>
      <c r="AL105" s="177">
        <v>376250000</v>
      </c>
      <c r="AM105" s="177">
        <v>376250000</v>
      </c>
      <c r="AN105" s="177">
        <v>376250000</v>
      </c>
      <c r="AO105" s="160">
        <v>0.47183887694436705</v>
      </c>
      <c r="AP105" s="177">
        <v>3837000000</v>
      </c>
      <c r="AQ105" s="177">
        <v>68750000</v>
      </c>
      <c r="AR105" s="177">
        <v>68750000</v>
      </c>
      <c r="AS105" s="177">
        <v>68750000</v>
      </c>
      <c r="AT105" s="177">
        <v>68750000</v>
      </c>
      <c r="AU105" s="177">
        <v>80750000</v>
      </c>
      <c r="AV105" s="177">
        <v>68750000</v>
      </c>
      <c r="AW105" s="177">
        <v>68750000</v>
      </c>
      <c r="AX105" s="177">
        <v>68750000</v>
      </c>
      <c r="AY105" s="177">
        <v>68750000</v>
      </c>
      <c r="AZ105" s="177">
        <v>68750000</v>
      </c>
      <c r="BA105" s="177">
        <v>3068750000</v>
      </c>
      <c r="BB105" s="177">
        <v>68750000</v>
      </c>
      <c r="BC105" s="177">
        <v>206250000</v>
      </c>
      <c r="BD105" s="177">
        <v>218250000</v>
      </c>
      <c r="BE105" s="177">
        <v>206250000</v>
      </c>
      <c r="BF105" s="177">
        <v>3206250000</v>
      </c>
      <c r="BG105" s="270">
        <v>4344249992</v>
      </c>
      <c r="BH105" s="270">
        <v>115416666</v>
      </c>
      <c r="BI105" s="270">
        <v>120416666</v>
      </c>
      <c r="BJ105" s="270">
        <v>115416666</v>
      </c>
      <c r="BK105" s="270">
        <v>120416666</v>
      </c>
      <c r="BL105" s="270">
        <v>115416666</v>
      </c>
      <c r="BM105" s="270">
        <v>120416666</v>
      </c>
      <c r="BN105" s="270">
        <v>120416666</v>
      </c>
      <c r="BO105" s="270">
        <v>115416666</v>
      </c>
      <c r="BP105" s="270">
        <v>115416666</v>
      </c>
      <c r="BQ105" s="299">
        <v>120416666</v>
      </c>
      <c r="BR105" s="270">
        <v>3118416666</v>
      </c>
      <c r="BS105" s="270">
        <v>46666666</v>
      </c>
      <c r="BT105" s="177">
        <v>351249998</v>
      </c>
      <c r="BU105" s="177">
        <v>356249998</v>
      </c>
      <c r="BV105" s="177">
        <v>351249998</v>
      </c>
      <c r="BW105" s="177">
        <v>3285499998</v>
      </c>
      <c r="BX105" s="269">
        <v>68750000</v>
      </c>
      <c r="BY105" s="270">
        <v>68750000</v>
      </c>
      <c r="BZ105" s="270"/>
      <c r="CA105" s="270"/>
      <c r="CB105" s="270"/>
      <c r="CC105" s="270"/>
      <c r="CD105" s="270"/>
      <c r="CE105" s="270"/>
      <c r="CF105" s="270"/>
      <c r="CG105" s="270"/>
      <c r="CH105" s="270"/>
      <c r="CI105" s="270"/>
      <c r="CJ105" s="270"/>
      <c r="CK105" s="271">
        <v>68750000</v>
      </c>
      <c r="CL105" s="271"/>
      <c r="CM105" s="271"/>
      <c r="CN105" s="271"/>
      <c r="CO105" s="156">
        <f t="shared" si="5"/>
        <v>507249992</v>
      </c>
      <c r="CP105" s="291">
        <f t="shared" si="6"/>
        <v>0.13219963304665103</v>
      </c>
    </row>
    <row r="106" spans="1:94" s="161" customFormat="1" ht="15.5" hidden="1" outlineLevel="1" collapsed="1">
      <c r="A106" s="150" t="str">
        <f t="shared" si="7"/>
        <v>in</v>
      </c>
      <c r="B106" s="150"/>
      <c r="C106" s="157" t="s">
        <v>110</v>
      </c>
      <c r="D106" s="177">
        <v>149499922</v>
      </c>
      <c r="E106" s="177">
        <v>48904882</v>
      </c>
      <c r="F106" s="177">
        <v>15293914</v>
      </c>
      <c r="G106" s="177">
        <v>8518041</v>
      </c>
      <c r="H106" s="177">
        <v>13897822</v>
      </c>
      <c r="I106" s="177">
        <v>11195105</v>
      </c>
      <c r="J106" s="177">
        <v>10714217</v>
      </c>
      <c r="K106" s="177">
        <v>12188107</v>
      </c>
      <c r="L106" s="177">
        <v>11233625</v>
      </c>
      <c r="M106" s="177">
        <v>12005073</v>
      </c>
      <c r="N106" s="177">
        <v>12556971</v>
      </c>
      <c r="O106" s="177">
        <v>11528610</v>
      </c>
      <c r="P106" s="177">
        <v>15480158</v>
      </c>
      <c r="Q106" s="177">
        <v>14888279</v>
      </c>
      <c r="R106" s="177">
        <v>37709777</v>
      </c>
      <c r="S106" s="177">
        <v>34097429</v>
      </c>
      <c r="T106" s="177">
        <v>35795669</v>
      </c>
      <c r="U106" s="177">
        <v>41897047</v>
      </c>
      <c r="V106" s="177">
        <v>177777777.7777777</v>
      </c>
      <c r="W106" s="177">
        <v>177777777.7777777</v>
      </c>
      <c r="X106" s="177">
        <v>14814814.814814813</v>
      </c>
      <c r="Y106" s="177">
        <v>14814814.814814813</v>
      </c>
      <c r="Z106" s="177">
        <v>14814814.814814813</v>
      </c>
      <c r="AA106" s="177">
        <v>14814814.814814813</v>
      </c>
      <c r="AB106" s="177">
        <v>14814814.814814813</v>
      </c>
      <c r="AC106" s="177">
        <v>14814814.814814813</v>
      </c>
      <c r="AD106" s="177">
        <v>14814814.814814813</v>
      </c>
      <c r="AE106" s="177">
        <v>14814814.814814813</v>
      </c>
      <c r="AF106" s="177">
        <v>14814814.814814813</v>
      </c>
      <c r="AG106" s="177">
        <v>14814814.814814813</v>
      </c>
      <c r="AH106" s="177">
        <v>14814814.814814813</v>
      </c>
      <c r="AI106" s="177">
        <v>14814814.814814813</v>
      </c>
      <c r="AJ106" s="177"/>
      <c r="AK106" s="177">
        <v>44444444.44444444</v>
      </c>
      <c r="AL106" s="177">
        <v>44444444.44444444</v>
      </c>
      <c r="AM106" s="177">
        <v>44444444.44444444</v>
      </c>
      <c r="AN106" s="177">
        <v>44444444.44444444</v>
      </c>
      <c r="AO106" s="160">
        <v>1.189149635661868</v>
      </c>
      <c r="AP106" s="177">
        <v>150975452</v>
      </c>
      <c r="AQ106" s="177">
        <v>15952892</v>
      </c>
      <c r="AR106" s="177">
        <v>11280207</v>
      </c>
      <c r="AS106" s="177">
        <v>13846887</v>
      </c>
      <c r="AT106" s="177">
        <v>10746750</v>
      </c>
      <c r="AU106" s="177">
        <v>11407478</v>
      </c>
      <c r="AV106" s="177">
        <v>12970720</v>
      </c>
      <c r="AW106" s="177">
        <v>12088873</v>
      </c>
      <c r="AX106" s="177">
        <v>12033204</v>
      </c>
      <c r="AY106" s="177">
        <v>11050321</v>
      </c>
      <c r="AZ106" s="177">
        <v>14637542</v>
      </c>
      <c r="BA106" s="177">
        <v>11936061</v>
      </c>
      <c r="BB106" s="177">
        <v>13024517</v>
      </c>
      <c r="BC106" s="177">
        <v>41079986</v>
      </c>
      <c r="BD106" s="177">
        <v>35124948</v>
      </c>
      <c r="BE106" s="177">
        <v>35172398</v>
      </c>
      <c r="BF106" s="177">
        <v>39598120</v>
      </c>
      <c r="BG106" s="270">
        <v>168000000</v>
      </c>
      <c r="BH106" s="270">
        <v>14000000</v>
      </c>
      <c r="BI106" s="270">
        <v>14000000</v>
      </c>
      <c r="BJ106" s="270">
        <v>14000000</v>
      </c>
      <c r="BK106" s="270">
        <v>14000000</v>
      </c>
      <c r="BL106" s="270">
        <v>14000000</v>
      </c>
      <c r="BM106" s="270">
        <v>14000000</v>
      </c>
      <c r="BN106" s="270">
        <v>14000000</v>
      </c>
      <c r="BO106" s="270">
        <v>14000000</v>
      </c>
      <c r="BP106" s="270">
        <v>14000000</v>
      </c>
      <c r="BQ106" s="299">
        <v>14000000</v>
      </c>
      <c r="BR106" s="270">
        <v>14000000</v>
      </c>
      <c r="BS106" s="270">
        <v>14000000</v>
      </c>
      <c r="BT106" s="177">
        <v>42000000</v>
      </c>
      <c r="BU106" s="177">
        <v>42000000</v>
      </c>
      <c r="BV106" s="177">
        <v>42000000</v>
      </c>
      <c r="BW106" s="177">
        <v>42000000</v>
      </c>
      <c r="BX106" s="269">
        <v>15161381</v>
      </c>
      <c r="BY106" s="270">
        <v>15161381</v>
      </c>
      <c r="BZ106" s="270"/>
      <c r="CA106" s="270"/>
      <c r="CB106" s="270"/>
      <c r="CC106" s="270"/>
      <c r="CD106" s="270"/>
      <c r="CE106" s="270"/>
      <c r="CF106" s="270"/>
      <c r="CG106" s="270"/>
      <c r="CH106" s="270"/>
      <c r="CI106" s="270"/>
      <c r="CJ106" s="270"/>
      <c r="CK106" s="271">
        <v>15161381</v>
      </c>
      <c r="CL106" s="271"/>
      <c r="CM106" s="271"/>
      <c r="CN106" s="271"/>
      <c r="CO106" s="156">
        <f t="shared" si="5"/>
        <v>17024548</v>
      </c>
      <c r="CP106" s="291">
        <f t="shared" si="6"/>
        <v>0.11276368293303735</v>
      </c>
    </row>
    <row r="107" spans="1:94" s="161" customFormat="1" ht="15.5" hidden="1" outlineLevel="1" collapsed="1">
      <c r="A107" s="150" t="str">
        <f t="shared" si="7"/>
        <v>in</v>
      </c>
      <c r="B107" s="150"/>
      <c r="C107" s="157" t="s">
        <v>129</v>
      </c>
      <c r="D107" s="177">
        <v>5892489106</v>
      </c>
      <c r="E107" s="177">
        <v>2333796297</v>
      </c>
      <c r="F107" s="177">
        <v>578703704</v>
      </c>
      <c r="G107" s="177">
        <v>578703704</v>
      </c>
      <c r="H107" s="177">
        <v>597685185</v>
      </c>
      <c r="I107" s="177">
        <v>578703704</v>
      </c>
      <c r="J107" s="177">
        <v>578703704</v>
      </c>
      <c r="K107" s="177">
        <v>981763704</v>
      </c>
      <c r="L107" s="177">
        <v>597538704</v>
      </c>
      <c r="M107" s="177">
        <v>578703697</v>
      </c>
      <c r="N107" s="177">
        <v>401524000</v>
      </c>
      <c r="O107" s="177">
        <v>0</v>
      </c>
      <c r="P107" s="177">
        <v>0</v>
      </c>
      <c r="Q107" s="177">
        <v>420459000</v>
      </c>
      <c r="R107" s="177">
        <v>1755092593</v>
      </c>
      <c r="S107" s="177">
        <v>2139171112</v>
      </c>
      <c r="T107" s="177">
        <v>1577766401</v>
      </c>
      <c r="U107" s="177">
        <v>420459000</v>
      </c>
      <c r="V107" s="177">
        <v>1641524000</v>
      </c>
      <c r="W107" s="177">
        <v>1641524000</v>
      </c>
      <c r="X107" s="177">
        <v>0</v>
      </c>
      <c r="Y107" s="177">
        <v>0</v>
      </c>
      <c r="Z107" s="177">
        <v>410000000</v>
      </c>
      <c r="AA107" s="177">
        <v>0</v>
      </c>
      <c r="AB107" s="177">
        <v>0</v>
      </c>
      <c r="AC107" s="177">
        <v>410000000</v>
      </c>
      <c r="AD107" s="177">
        <v>0</v>
      </c>
      <c r="AE107" s="177">
        <v>0</v>
      </c>
      <c r="AF107" s="177">
        <v>411524000</v>
      </c>
      <c r="AG107" s="177">
        <v>0</v>
      </c>
      <c r="AH107" s="177">
        <v>0</v>
      </c>
      <c r="AI107" s="177">
        <v>410000000</v>
      </c>
      <c r="AJ107" s="177"/>
      <c r="AK107" s="177">
        <v>410000000</v>
      </c>
      <c r="AL107" s="177">
        <v>410000000</v>
      </c>
      <c r="AM107" s="177">
        <v>411524000</v>
      </c>
      <c r="AN107" s="177">
        <v>410000000</v>
      </c>
      <c r="AO107" s="160">
        <v>0.27857904706663367</v>
      </c>
      <c r="AP107" s="177">
        <v>1203351000</v>
      </c>
      <c r="AQ107" s="177">
        <v>0</v>
      </c>
      <c r="AR107" s="177">
        <v>0</v>
      </c>
      <c r="AS107" s="177">
        <v>400000000</v>
      </c>
      <c r="AT107" s="177">
        <v>0</v>
      </c>
      <c r="AU107" s="177">
        <v>0</v>
      </c>
      <c r="AV107" s="177">
        <v>400000000</v>
      </c>
      <c r="AW107" s="177">
        <v>0</v>
      </c>
      <c r="AX107" s="177">
        <v>0</v>
      </c>
      <c r="AY107" s="177">
        <v>203351000</v>
      </c>
      <c r="AZ107" s="177">
        <v>0</v>
      </c>
      <c r="BA107" s="177">
        <v>200000000</v>
      </c>
      <c r="BB107" s="177">
        <v>0</v>
      </c>
      <c r="BC107" s="177">
        <v>400000000</v>
      </c>
      <c r="BD107" s="177">
        <v>400000000</v>
      </c>
      <c r="BE107" s="177">
        <v>203351000</v>
      </c>
      <c r="BF107" s="177">
        <v>200000000</v>
      </c>
      <c r="BG107" s="270">
        <v>920000000</v>
      </c>
      <c r="BH107" s="270">
        <v>10000000</v>
      </c>
      <c r="BI107" s="270">
        <v>10000000</v>
      </c>
      <c r="BJ107" s="270">
        <v>210000000</v>
      </c>
      <c r="BK107" s="270">
        <v>10000000</v>
      </c>
      <c r="BL107" s="270">
        <v>10000000</v>
      </c>
      <c r="BM107" s="270">
        <v>210000000</v>
      </c>
      <c r="BN107" s="270">
        <v>10000000</v>
      </c>
      <c r="BO107" s="270">
        <v>10000000</v>
      </c>
      <c r="BP107" s="270">
        <v>210000000</v>
      </c>
      <c r="BQ107" s="299">
        <v>10000000</v>
      </c>
      <c r="BR107" s="270">
        <v>10000000</v>
      </c>
      <c r="BS107" s="270">
        <v>210000000</v>
      </c>
      <c r="BT107" s="177">
        <v>230000000</v>
      </c>
      <c r="BU107" s="177">
        <v>230000000</v>
      </c>
      <c r="BV107" s="177">
        <v>230000000</v>
      </c>
      <c r="BW107" s="177">
        <v>230000000</v>
      </c>
      <c r="BX107" s="269">
        <v>0</v>
      </c>
      <c r="BY107" s="270">
        <v>0</v>
      </c>
      <c r="BZ107" s="270"/>
      <c r="CA107" s="270"/>
      <c r="CB107" s="270"/>
      <c r="CC107" s="270"/>
      <c r="CD107" s="270"/>
      <c r="CE107" s="270"/>
      <c r="CF107" s="270"/>
      <c r="CG107" s="270"/>
      <c r="CH107" s="270"/>
      <c r="CI107" s="270"/>
      <c r="CJ107" s="270"/>
      <c r="CK107" s="271">
        <v>0</v>
      </c>
      <c r="CL107" s="271"/>
      <c r="CM107" s="271"/>
      <c r="CN107" s="271"/>
      <c r="CO107" s="156">
        <f t="shared" si="5"/>
        <v>-283351000</v>
      </c>
      <c r="CP107" s="291">
        <f t="shared" si="6"/>
        <v>-0.23546828813870599</v>
      </c>
    </row>
    <row r="108" spans="1:94" s="161" customFormat="1" ht="15.5" hidden="1" outlineLevel="1" collapsed="1">
      <c r="A108" s="150" t="str">
        <f t="shared" si="7"/>
        <v>ẩn</v>
      </c>
      <c r="B108" s="150"/>
      <c r="C108" s="157" t="s">
        <v>136</v>
      </c>
      <c r="D108" s="177">
        <v>2600000</v>
      </c>
      <c r="E108" s="177">
        <v>0</v>
      </c>
      <c r="F108" s="177">
        <v>0</v>
      </c>
      <c r="G108" s="177">
        <v>0</v>
      </c>
      <c r="H108" s="177">
        <v>0</v>
      </c>
      <c r="I108" s="177">
        <v>0</v>
      </c>
      <c r="J108" s="177">
        <v>0</v>
      </c>
      <c r="K108" s="177">
        <v>0</v>
      </c>
      <c r="L108" s="177">
        <v>0</v>
      </c>
      <c r="M108" s="177">
        <v>0</v>
      </c>
      <c r="N108" s="177">
        <v>2000000</v>
      </c>
      <c r="O108" s="177">
        <v>0</v>
      </c>
      <c r="P108" s="177">
        <v>0</v>
      </c>
      <c r="Q108" s="177">
        <v>600000</v>
      </c>
      <c r="R108" s="177">
        <v>0</v>
      </c>
      <c r="S108" s="177">
        <v>0</v>
      </c>
      <c r="T108" s="177">
        <v>2000000</v>
      </c>
      <c r="U108" s="177">
        <v>600000</v>
      </c>
      <c r="V108" s="177">
        <v>0</v>
      </c>
      <c r="W108" s="177">
        <v>0</v>
      </c>
      <c r="X108" s="177">
        <v>0</v>
      </c>
      <c r="Y108" s="177">
        <v>0</v>
      </c>
      <c r="Z108" s="177">
        <v>0</v>
      </c>
      <c r="AA108" s="177">
        <v>0</v>
      </c>
      <c r="AB108" s="177">
        <v>0</v>
      </c>
      <c r="AC108" s="177">
        <v>0</v>
      </c>
      <c r="AD108" s="177">
        <v>0</v>
      </c>
      <c r="AE108" s="177">
        <v>0</v>
      </c>
      <c r="AF108" s="177">
        <v>0</v>
      </c>
      <c r="AG108" s="177">
        <v>0</v>
      </c>
      <c r="AH108" s="177">
        <v>0</v>
      </c>
      <c r="AI108" s="177">
        <v>0</v>
      </c>
      <c r="AJ108" s="177"/>
      <c r="AK108" s="177">
        <v>0</v>
      </c>
      <c r="AL108" s="177">
        <v>0</v>
      </c>
      <c r="AM108" s="177">
        <v>0</v>
      </c>
      <c r="AN108" s="177">
        <v>0</v>
      </c>
      <c r="AO108" s="160">
        <v>0</v>
      </c>
      <c r="AP108" s="177">
        <v>3420000</v>
      </c>
      <c r="AQ108" s="177">
        <v>0</v>
      </c>
      <c r="AR108" s="177">
        <v>0</v>
      </c>
      <c r="AS108" s="177">
        <v>0</v>
      </c>
      <c r="AT108" s="177">
        <v>0</v>
      </c>
      <c r="AU108" s="177">
        <v>0</v>
      </c>
      <c r="AV108" s="177">
        <v>0</v>
      </c>
      <c r="AW108" s="177">
        <v>0</v>
      </c>
      <c r="AX108" s="177">
        <v>3420000</v>
      </c>
      <c r="AY108" s="177">
        <v>0</v>
      </c>
      <c r="AZ108" s="177">
        <v>0</v>
      </c>
      <c r="BA108" s="177">
        <v>0</v>
      </c>
      <c r="BB108" s="177">
        <v>0</v>
      </c>
      <c r="BC108" s="177">
        <v>0</v>
      </c>
      <c r="BD108" s="177">
        <v>0</v>
      </c>
      <c r="BE108" s="177">
        <v>3420000</v>
      </c>
      <c r="BF108" s="177">
        <v>0</v>
      </c>
      <c r="BG108" s="270">
        <v>0</v>
      </c>
      <c r="BH108" s="270">
        <v>0</v>
      </c>
      <c r="BI108" s="270">
        <v>0</v>
      </c>
      <c r="BJ108" s="270">
        <v>0</v>
      </c>
      <c r="BK108" s="270">
        <v>0</v>
      </c>
      <c r="BL108" s="270">
        <v>0</v>
      </c>
      <c r="BM108" s="270">
        <v>0</v>
      </c>
      <c r="BN108" s="270">
        <v>0</v>
      </c>
      <c r="BO108" s="270">
        <v>0</v>
      </c>
      <c r="BP108" s="270">
        <v>0</v>
      </c>
      <c r="BQ108" s="299">
        <v>0</v>
      </c>
      <c r="BR108" s="270">
        <v>0</v>
      </c>
      <c r="BS108" s="270">
        <v>0</v>
      </c>
      <c r="BT108" s="177">
        <v>0</v>
      </c>
      <c r="BU108" s="177">
        <v>0</v>
      </c>
      <c r="BV108" s="177">
        <v>0</v>
      </c>
      <c r="BW108" s="177">
        <v>0</v>
      </c>
      <c r="BX108" s="269">
        <v>0</v>
      </c>
      <c r="BY108" s="270">
        <v>0</v>
      </c>
      <c r="BZ108" s="270"/>
      <c r="CA108" s="270"/>
      <c r="CB108" s="270"/>
      <c r="CC108" s="270"/>
      <c r="CD108" s="270"/>
      <c r="CE108" s="270"/>
      <c r="CF108" s="270"/>
      <c r="CG108" s="270"/>
      <c r="CH108" s="270"/>
      <c r="CI108" s="270"/>
      <c r="CJ108" s="270"/>
      <c r="CK108" s="271">
        <v>0</v>
      </c>
      <c r="CL108" s="271"/>
      <c r="CM108" s="271"/>
      <c r="CN108" s="271"/>
      <c r="CO108" s="156">
        <f t="shared" si="5"/>
        <v>-3420000</v>
      </c>
      <c r="CP108" s="291">
        <f t="shared" si="6"/>
        <v>-1</v>
      </c>
    </row>
    <row r="109" spans="1:94" s="161" customFormat="1" ht="15.5" hidden="1" outlineLevel="1">
      <c r="A109" s="150"/>
      <c r="B109" s="150"/>
      <c r="C109" s="157" t="s">
        <v>492</v>
      </c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  <c r="AH109" s="177"/>
      <c r="AI109" s="177"/>
      <c r="AJ109" s="177"/>
      <c r="AK109" s="177"/>
      <c r="AL109" s="177"/>
      <c r="AM109" s="177"/>
      <c r="AN109" s="177"/>
      <c r="AO109" s="160"/>
      <c r="AP109" s="177"/>
      <c r="AQ109" s="177"/>
      <c r="AR109" s="177"/>
      <c r="AS109" s="177"/>
      <c r="AT109" s="177"/>
      <c r="AU109" s="177"/>
      <c r="AV109" s="177"/>
      <c r="AW109" s="177"/>
      <c r="AX109" s="177"/>
      <c r="AY109" s="177"/>
      <c r="AZ109" s="177"/>
      <c r="BA109" s="177"/>
      <c r="BB109" s="177"/>
      <c r="BC109" s="177"/>
      <c r="BD109" s="177"/>
      <c r="BE109" s="177"/>
      <c r="BF109" s="177"/>
      <c r="BG109" s="270">
        <v>1800000000</v>
      </c>
      <c r="BH109" s="270">
        <v>0</v>
      </c>
      <c r="BI109" s="270">
        <v>0</v>
      </c>
      <c r="BJ109" s="270">
        <v>0</v>
      </c>
      <c r="BK109" s="270">
        <v>0</v>
      </c>
      <c r="BL109" s="270">
        <v>600000000</v>
      </c>
      <c r="BM109" s="270">
        <v>1000000000</v>
      </c>
      <c r="BN109" s="270">
        <v>200000000</v>
      </c>
      <c r="BO109" s="270">
        <v>0</v>
      </c>
      <c r="BP109" s="270">
        <v>0</v>
      </c>
      <c r="BQ109" s="299">
        <v>0</v>
      </c>
      <c r="BR109" s="270">
        <v>0</v>
      </c>
      <c r="BS109" s="270">
        <v>0</v>
      </c>
      <c r="BT109" s="177">
        <v>0</v>
      </c>
      <c r="BU109" s="177">
        <v>1600000000</v>
      </c>
      <c r="BV109" s="177">
        <v>200000000</v>
      </c>
      <c r="BW109" s="177">
        <v>0</v>
      </c>
      <c r="BX109" s="269"/>
      <c r="BY109" s="270"/>
      <c r="BZ109" s="270"/>
      <c r="CA109" s="270"/>
      <c r="CB109" s="270"/>
      <c r="CC109" s="270"/>
      <c r="CD109" s="270"/>
      <c r="CE109" s="270"/>
      <c r="CF109" s="270"/>
      <c r="CG109" s="270"/>
      <c r="CH109" s="270"/>
      <c r="CI109" s="270"/>
      <c r="CJ109" s="270"/>
      <c r="CK109" s="271"/>
      <c r="CL109" s="271"/>
      <c r="CM109" s="271"/>
      <c r="CN109" s="271"/>
      <c r="CO109" s="156"/>
      <c r="CP109" s="291"/>
    </row>
    <row r="110" spans="1:94" s="161" customFormat="1" ht="15.5" hidden="1" outlineLevel="1" collapsed="1">
      <c r="A110" s="150" t="str">
        <f t="shared" si="7"/>
        <v>in</v>
      </c>
      <c r="B110" s="150"/>
      <c r="C110" s="157" t="s">
        <v>135</v>
      </c>
      <c r="D110" s="177">
        <v>39544527</v>
      </c>
      <c r="E110" s="177">
        <v>20078181</v>
      </c>
      <c r="F110" s="177">
        <v>6692727</v>
      </c>
      <c r="G110" s="177">
        <v>6692727</v>
      </c>
      <c r="H110" s="177">
        <v>6692727</v>
      </c>
      <c r="I110" s="177">
        <v>0</v>
      </c>
      <c r="J110" s="177">
        <v>11557372</v>
      </c>
      <c r="K110" s="177">
        <v>1970182</v>
      </c>
      <c r="L110" s="177">
        <v>1970182</v>
      </c>
      <c r="M110" s="177">
        <v>1970182</v>
      </c>
      <c r="N110" s="177">
        <v>1970182</v>
      </c>
      <c r="O110" s="177">
        <v>28246</v>
      </c>
      <c r="P110" s="177">
        <v>0</v>
      </c>
      <c r="Q110" s="177">
        <v>0</v>
      </c>
      <c r="R110" s="177">
        <v>20078181</v>
      </c>
      <c r="S110" s="177">
        <v>13527554</v>
      </c>
      <c r="T110" s="177">
        <v>5910546</v>
      </c>
      <c r="U110" s="177">
        <v>28246</v>
      </c>
      <c r="V110" s="177">
        <v>0</v>
      </c>
      <c r="W110" s="177">
        <v>0</v>
      </c>
      <c r="X110" s="177">
        <v>0</v>
      </c>
      <c r="Y110" s="177">
        <v>0</v>
      </c>
      <c r="Z110" s="177">
        <v>0</v>
      </c>
      <c r="AA110" s="177">
        <v>0</v>
      </c>
      <c r="AB110" s="177">
        <v>0</v>
      </c>
      <c r="AC110" s="177">
        <v>0</v>
      </c>
      <c r="AD110" s="177">
        <v>0</v>
      </c>
      <c r="AE110" s="177">
        <v>0</v>
      </c>
      <c r="AF110" s="177">
        <v>0</v>
      </c>
      <c r="AG110" s="177">
        <v>0</v>
      </c>
      <c r="AH110" s="177">
        <v>0</v>
      </c>
      <c r="AI110" s="177">
        <v>0</v>
      </c>
      <c r="AJ110" s="177"/>
      <c r="AK110" s="177">
        <v>0</v>
      </c>
      <c r="AL110" s="177">
        <v>0</v>
      </c>
      <c r="AM110" s="177">
        <v>0</v>
      </c>
      <c r="AN110" s="177">
        <v>0</v>
      </c>
      <c r="AO110" s="160">
        <v>0</v>
      </c>
      <c r="AP110" s="177">
        <v>0</v>
      </c>
      <c r="AQ110" s="177">
        <v>0</v>
      </c>
      <c r="AR110" s="177">
        <v>0</v>
      </c>
      <c r="AS110" s="177">
        <v>0</v>
      </c>
      <c r="AT110" s="177">
        <v>0</v>
      </c>
      <c r="AU110" s="177">
        <v>0</v>
      </c>
      <c r="AV110" s="177">
        <v>0</v>
      </c>
      <c r="AW110" s="177">
        <v>0</v>
      </c>
      <c r="AX110" s="177">
        <v>0</v>
      </c>
      <c r="AY110" s="177">
        <v>0</v>
      </c>
      <c r="AZ110" s="177">
        <v>0</v>
      </c>
      <c r="BA110" s="177">
        <v>0</v>
      </c>
      <c r="BB110" s="177">
        <v>0</v>
      </c>
      <c r="BC110" s="177">
        <v>0</v>
      </c>
      <c r="BD110" s="177">
        <v>0</v>
      </c>
      <c r="BE110" s="177">
        <v>0</v>
      </c>
      <c r="BF110" s="177">
        <v>0</v>
      </c>
      <c r="BG110" s="270">
        <v>0</v>
      </c>
      <c r="BH110" s="270">
        <v>0</v>
      </c>
      <c r="BI110" s="270">
        <v>0</v>
      </c>
      <c r="BJ110" s="270">
        <v>0</v>
      </c>
      <c r="BK110" s="270">
        <v>0</v>
      </c>
      <c r="BL110" s="270">
        <v>0</v>
      </c>
      <c r="BM110" s="270">
        <v>0</v>
      </c>
      <c r="BN110" s="270">
        <v>0</v>
      </c>
      <c r="BO110" s="270">
        <v>0</v>
      </c>
      <c r="BP110" s="270">
        <v>0</v>
      </c>
      <c r="BQ110" s="299">
        <v>0</v>
      </c>
      <c r="BR110" s="270">
        <v>0</v>
      </c>
      <c r="BS110" s="270">
        <v>0</v>
      </c>
      <c r="BT110" s="177">
        <v>0</v>
      </c>
      <c r="BU110" s="177">
        <v>0</v>
      </c>
      <c r="BV110" s="177">
        <v>0</v>
      </c>
      <c r="BW110" s="177">
        <v>0</v>
      </c>
      <c r="BX110" s="269">
        <v>0</v>
      </c>
      <c r="BY110" s="270">
        <v>0</v>
      </c>
      <c r="BZ110" s="270"/>
      <c r="CA110" s="270"/>
      <c r="CB110" s="270"/>
      <c r="CC110" s="270"/>
      <c r="CD110" s="270"/>
      <c r="CE110" s="270"/>
      <c r="CF110" s="270"/>
      <c r="CG110" s="270"/>
      <c r="CH110" s="270"/>
      <c r="CI110" s="270"/>
      <c r="CJ110" s="270"/>
      <c r="CK110" s="271">
        <v>0</v>
      </c>
      <c r="CL110" s="271"/>
      <c r="CM110" s="271"/>
      <c r="CN110" s="271"/>
      <c r="CO110" s="156">
        <f t="shared" si="5"/>
        <v>0</v>
      </c>
      <c r="CP110" s="291" t="str">
        <f t="shared" si="6"/>
        <v/>
      </c>
    </row>
    <row r="111" spans="1:94" s="156" customFormat="1" ht="15.5" collapsed="1">
      <c r="A111" s="150" t="str">
        <f t="shared" si="7"/>
        <v>in</v>
      </c>
      <c r="B111" s="151"/>
      <c r="C111" s="201" t="s">
        <v>225</v>
      </c>
      <c r="D111" s="176">
        <v>50899255431</v>
      </c>
      <c r="E111" s="176">
        <v>-16155124969</v>
      </c>
      <c r="F111" s="176">
        <v>-703213379</v>
      </c>
      <c r="G111" s="176">
        <v>-1223962768</v>
      </c>
      <c r="H111" s="176">
        <v>-13706789138</v>
      </c>
      <c r="I111" s="176">
        <v>-521159684</v>
      </c>
      <c r="J111" s="176">
        <v>9132407791</v>
      </c>
      <c r="K111" s="176">
        <v>-21864145615</v>
      </c>
      <c r="L111" s="176">
        <v>2865499610</v>
      </c>
      <c r="M111" s="176">
        <v>4258310820</v>
      </c>
      <c r="N111" s="176">
        <v>87291173366</v>
      </c>
      <c r="O111" s="176">
        <v>95647631</v>
      </c>
      <c r="P111" s="176">
        <v>-4445165739</v>
      </c>
      <c r="Q111" s="176">
        <v>-10279347464</v>
      </c>
      <c r="R111" s="176">
        <v>-15633965285</v>
      </c>
      <c r="S111" s="176">
        <v>-13252897508</v>
      </c>
      <c r="T111" s="176">
        <v>94414983796</v>
      </c>
      <c r="U111" s="176">
        <v>-14628865572</v>
      </c>
      <c r="V111" s="176">
        <v>8983362994.6234322</v>
      </c>
      <c r="W111" s="176">
        <v>8983362994.6234322</v>
      </c>
      <c r="X111" s="176">
        <v>1198142923.8178244</v>
      </c>
      <c r="Y111" s="176">
        <v>-194600078.38888144</v>
      </c>
      <c r="Z111" s="176">
        <v>-13503274725.871498</v>
      </c>
      <c r="AA111" s="176">
        <v>46791197.267679453</v>
      </c>
      <c r="AB111" s="176">
        <v>63831630.952973127</v>
      </c>
      <c r="AC111" s="176">
        <v>-26137429861.518486</v>
      </c>
      <c r="AD111" s="176">
        <v>3393204265.1993208</v>
      </c>
      <c r="AE111" s="176">
        <v>4851588324.5854292</v>
      </c>
      <c r="AF111" s="176">
        <v>36429965166.536476</v>
      </c>
      <c r="AG111" s="176">
        <v>72881646.850679398</v>
      </c>
      <c r="AH111" s="176">
        <v>-54803596.342394352</v>
      </c>
      <c r="AI111" s="176">
        <v>2817066101.5343103</v>
      </c>
      <c r="AJ111" s="176"/>
      <c r="AK111" s="176">
        <v>-12499731880.442554</v>
      </c>
      <c r="AL111" s="176">
        <v>-26026807033.297832</v>
      </c>
      <c r="AM111" s="176">
        <v>44674757756.321228</v>
      </c>
      <c r="AN111" s="176">
        <v>2835144152.0425954</v>
      </c>
      <c r="AO111" s="160">
        <v>0.17649301386739241</v>
      </c>
      <c r="AP111" s="176">
        <v>29595836055</v>
      </c>
      <c r="AQ111" s="176">
        <v>1267113621</v>
      </c>
      <c r="AR111" s="176">
        <v>20369556</v>
      </c>
      <c r="AS111" s="176">
        <v>-12467750853</v>
      </c>
      <c r="AT111" s="176">
        <v>5087766312</v>
      </c>
      <c r="AU111" s="176">
        <v>470130343</v>
      </c>
      <c r="AV111" s="176">
        <v>1652907955</v>
      </c>
      <c r="AW111" s="176">
        <v>2507865993</v>
      </c>
      <c r="AX111" s="176">
        <v>4655059474</v>
      </c>
      <c r="AY111" s="176">
        <v>12255661303</v>
      </c>
      <c r="AZ111" s="176">
        <v>151081351</v>
      </c>
      <c r="BA111" s="176">
        <v>-3098708104</v>
      </c>
      <c r="BB111" s="176">
        <v>17094339104</v>
      </c>
      <c r="BC111" s="176">
        <v>-11180267676</v>
      </c>
      <c r="BD111" s="176">
        <v>7210804610</v>
      </c>
      <c r="BE111" s="176">
        <v>19418586770</v>
      </c>
      <c r="BF111" s="176">
        <v>14146712351</v>
      </c>
      <c r="BG111" s="273">
        <v>361425424112</v>
      </c>
      <c r="BH111" s="273">
        <v>-50594250</v>
      </c>
      <c r="BI111" s="273">
        <v>-115071304</v>
      </c>
      <c r="BJ111" s="273">
        <v>1882613408</v>
      </c>
      <c r="BK111" s="273">
        <v>183666232</v>
      </c>
      <c r="BL111" s="273">
        <v>-471190955</v>
      </c>
      <c r="BM111" s="273">
        <v>2319495055</v>
      </c>
      <c r="BN111" s="273">
        <v>2756464478</v>
      </c>
      <c r="BO111" s="273">
        <v>5267070127</v>
      </c>
      <c r="BP111" s="273">
        <v>11029109021</v>
      </c>
      <c r="BQ111" s="298">
        <v>340206011858</v>
      </c>
      <c r="BR111" s="273">
        <v>-3065265087</v>
      </c>
      <c r="BS111" s="273">
        <v>1483115529</v>
      </c>
      <c r="BT111" s="176">
        <v>1716947854</v>
      </c>
      <c r="BU111" s="176">
        <v>2031970332</v>
      </c>
      <c r="BV111" s="176">
        <v>19052643626</v>
      </c>
      <c r="BW111" s="176">
        <v>338623862300</v>
      </c>
      <c r="BX111" s="272">
        <v>47467543</v>
      </c>
      <c r="BY111" s="273">
        <v>47467543</v>
      </c>
      <c r="BZ111" s="273"/>
      <c r="CA111" s="273"/>
      <c r="CB111" s="273"/>
      <c r="CC111" s="273"/>
      <c r="CD111" s="273"/>
      <c r="CE111" s="273"/>
      <c r="CF111" s="273"/>
      <c r="CG111" s="273"/>
      <c r="CH111" s="273"/>
      <c r="CI111" s="273"/>
      <c r="CJ111" s="273"/>
      <c r="CK111" s="274">
        <v>47467543</v>
      </c>
      <c r="CL111" s="274"/>
      <c r="CM111" s="274"/>
      <c r="CN111" s="274"/>
      <c r="CO111" s="156">
        <f t="shared" si="5"/>
        <v>331829588057</v>
      </c>
      <c r="CP111" s="291">
        <f t="shared" si="6"/>
        <v>11.212036295928185</v>
      </c>
    </row>
    <row r="112" spans="1:94" s="156" customFormat="1" ht="15.5">
      <c r="A112" s="150" t="str">
        <f t="shared" si="7"/>
        <v>ẩn</v>
      </c>
      <c r="B112" s="151"/>
      <c r="C112" s="152" t="s">
        <v>226</v>
      </c>
      <c r="D112" s="177">
        <v>100013427864</v>
      </c>
      <c r="E112" s="177">
        <v>0</v>
      </c>
      <c r="F112" s="177">
        <v>0</v>
      </c>
      <c r="G112" s="177">
        <v>0</v>
      </c>
      <c r="H112" s="177">
        <v>0</v>
      </c>
      <c r="I112" s="177">
        <v>0</v>
      </c>
      <c r="J112" s="177">
        <v>0</v>
      </c>
      <c r="K112" s="177">
        <v>0</v>
      </c>
      <c r="L112" s="177">
        <v>0</v>
      </c>
      <c r="M112" s="177">
        <v>10000000</v>
      </c>
      <c r="N112" s="177">
        <v>0</v>
      </c>
      <c r="O112" s="177">
        <v>0</v>
      </c>
      <c r="P112" s="177">
        <v>3427864</v>
      </c>
      <c r="Q112" s="177">
        <v>100000000000</v>
      </c>
      <c r="R112" s="177">
        <v>0</v>
      </c>
      <c r="S112" s="177">
        <v>0</v>
      </c>
      <c r="T112" s="177">
        <v>10000000</v>
      </c>
      <c r="U112" s="177">
        <v>100003427864</v>
      </c>
      <c r="V112" s="177">
        <v>0</v>
      </c>
      <c r="W112" s="177">
        <v>0</v>
      </c>
      <c r="X112" s="177">
        <v>0</v>
      </c>
      <c r="Y112" s="177">
        <v>0</v>
      </c>
      <c r="Z112" s="177">
        <v>0</v>
      </c>
      <c r="AA112" s="177">
        <v>0</v>
      </c>
      <c r="AB112" s="177">
        <v>0</v>
      </c>
      <c r="AC112" s="177">
        <v>0</v>
      </c>
      <c r="AD112" s="177">
        <v>0</v>
      </c>
      <c r="AE112" s="177">
        <v>0</v>
      </c>
      <c r="AF112" s="177">
        <v>0</v>
      </c>
      <c r="AG112" s="177">
        <v>0</v>
      </c>
      <c r="AH112" s="177">
        <v>0</v>
      </c>
      <c r="AI112" s="177">
        <v>0</v>
      </c>
      <c r="AJ112" s="177"/>
      <c r="AK112" s="177">
        <v>0</v>
      </c>
      <c r="AL112" s="177">
        <v>0</v>
      </c>
      <c r="AM112" s="177">
        <v>0</v>
      </c>
      <c r="AN112" s="177">
        <v>0</v>
      </c>
      <c r="AO112" s="160">
        <v>0</v>
      </c>
      <c r="AP112" s="177">
        <v>298867444</v>
      </c>
      <c r="AQ112" s="177">
        <v>0</v>
      </c>
      <c r="AR112" s="177">
        <v>743643</v>
      </c>
      <c r="AS112" s="177">
        <v>112000</v>
      </c>
      <c r="AT112" s="177">
        <v>0</v>
      </c>
      <c r="AU112" s="177">
        <v>0</v>
      </c>
      <c r="AV112" s="177">
        <v>0</v>
      </c>
      <c r="AW112" s="177">
        <v>0</v>
      </c>
      <c r="AX112" s="177">
        <v>0</v>
      </c>
      <c r="AY112" s="177">
        <v>294451</v>
      </c>
      <c r="AZ112" s="177">
        <v>0</v>
      </c>
      <c r="BA112" s="177">
        <v>290909091</v>
      </c>
      <c r="BB112" s="177">
        <v>6808259</v>
      </c>
      <c r="BC112" s="177">
        <v>855643</v>
      </c>
      <c r="BD112" s="177">
        <v>0</v>
      </c>
      <c r="BE112" s="177">
        <v>294451</v>
      </c>
      <c r="BF112" s="177">
        <v>297717350</v>
      </c>
      <c r="BG112" s="273">
        <v>0</v>
      </c>
      <c r="BH112" s="273">
        <v>0</v>
      </c>
      <c r="BI112" s="273">
        <v>0</v>
      </c>
      <c r="BJ112" s="273">
        <v>0</v>
      </c>
      <c r="BK112" s="273">
        <v>0</v>
      </c>
      <c r="BL112" s="273">
        <v>0</v>
      </c>
      <c r="BM112" s="273">
        <v>0</v>
      </c>
      <c r="BN112" s="273">
        <v>0</v>
      </c>
      <c r="BO112" s="273">
        <v>0</v>
      </c>
      <c r="BP112" s="273">
        <v>0</v>
      </c>
      <c r="BQ112" s="299">
        <v>0</v>
      </c>
      <c r="BR112" s="273">
        <v>0</v>
      </c>
      <c r="BS112" s="273">
        <v>0</v>
      </c>
      <c r="BT112" s="177">
        <v>0</v>
      </c>
      <c r="BU112" s="177">
        <v>0</v>
      </c>
      <c r="BV112" s="177">
        <v>0</v>
      </c>
      <c r="BW112" s="177">
        <v>0</v>
      </c>
      <c r="BX112" s="272">
        <v>0</v>
      </c>
      <c r="BY112" s="273">
        <v>0</v>
      </c>
      <c r="BZ112" s="273"/>
      <c r="CA112" s="273"/>
      <c r="CB112" s="273"/>
      <c r="CC112" s="273"/>
      <c r="CD112" s="273"/>
      <c r="CE112" s="273"/>
      <c r="CF112" s="273"/>
      <c r="CG112" s="273"/>
      <c r="CH112" s="273"/>
      <c r="CI112" s="273"/>
      <c r="CJ112" s="273"/>
      <c r="CK112" s="274">
        <v>0</v>
      </c>
      <c r="CL112" s="274"/>
      <c r="CM112" s="274"/>
      <c r="CN112" s="274"/>
      <c r="CO112" s="156">
        <f t="shared" si="5"/>
        <v>-298867444</v>
      </c>
      <c r="CP112" s="291">
        <f t="shared" si="6"/>
        <v>-1</v>
      </c>
    </row>
    <row r="113" spans="1:106" s="156" customFormat="1" ht="15.5">
      <c r="A113" s="150" t="str">
        <f t="shared" si="7"/>
        <v>in</v>
      </c>
      <c r="B113" s="151"/>
      <c r="C113" s="152" t="s">
        <v>227</v>
      </c>
      <c r="D113" s="177">
        <v>11495181</v>
      </c>
      <c r="E113" s="177">
        <v>1890955</v>
      </c>
      <c r="F113" s="177">
        <v>0</v>
      </c>
      <c r="G113" s="177">
        <v>226080</v>
      </c>
      <c r="H113" s="177">
        <v>143215</v>
      </c>
      <c r="I113" s="177">
        <v>1521660</v>
      </c>
      <c r="J113" s="177">
        <v>9604190</v>
      </c>
      <c r="K113" s="177">
        <v>0</v>
      </c>
      <c r="L113" s="177">
        <v>36</v>
      </c>
      <c r="M113" s="177">
        <v>0</v>
      </c>
      <c r="N113" s="177">
        <v>0</v>
      </c>
      <c r="O113" s="177">
        <v>0</v>
      </c>
      <c r="P113" s="177">
        <v>0</v>
      </c>
      <c r="Q113" s="177">
        <v>0</v>
      </c>
      <c r="R113" s="177">
        <v>369295</v>
      </c>
      <c r="S113" s="177">
        <v>11125850</v>
      </c>
      <c r="T113" s="177">
        <v>36</v>
      </c>
      <c r="U113" s="177">
        <v>0</v>
      </c>
      <c r="V113" s="177">
        <v>0</v>
      </c>
      <c r="W113" s="177">
        <v>0</v>
      </c>
      <c r="X113" s="177">
        <v>0</v>
      </c>
      <c r="Y113" s="177">
        <v>0</v>
      </c>
      <c r="Z113" s="177">
        <v>0</v>
      </c>
      <c r="AA113" s="177">
        <v>0</v>
      </c>
      <c r="AB113" s="177">
        <v>0</v>
      </c>
      <c r="AC113" s="177">
        <v>0</v>
      </c>
      <c r="AD113" s="177">
        <v>0</v>
      </c>
      <c r="AE113" s="177">
        <v>0</v>
      </c>
      <c r="AF113" s="177">
        <v>0</v>
      </c>
      <c r="AG113" s="177">
        <v>0</v>
      </c>
      <c r="AH113" s="177">
        <v>0</v>
      </c>
      <c r="AI113" s="177">
        <v>0</v>
      </c>
      <c r="AJ113" s="177"/>
      <c r="AK113" s="177">
        <v>0</v>
      </c>
      <c r="AL113" s="177">
        <v>0</v>
      </c>
      <c r="AM113" s="177">
        <v>0</v>
      </c>
      <c r="AN113" s="177">
        <v>0</v>
      </c>
      <c r="AO113" s="160">
        <v>0</v>
      </c>
      <c r="AP113" s="177">
        <v>173025314</v>
      </c>
      <c r="AQ113" s="177">
        <v>0</v>
      </c>
      <c r="AR113" s="177">
        <v>0</v>
      </c>
      <c r="AS113" s="177">
        <v>4000000</v>
      </c>
      <c r="AT113" s="177">
        <v>4336600</v>
      </c>
      <c r="AU113" s="177">
        <v>430415</v>
      </c>
      <c r="AV113" s="177">
        <v>253362821</v>
      </c>
      <c r="AW113" s="177">
        <v>67678101</v>
      </c>
      <c r="AX113" s="177">
        <v>68199391</v>
      </c>
      <c r="AY113" s="177">
        <v>43110852</v>
      </c>
      <c r="AZ113" s="177">
        <v>-286722471</v>
      </c>
      <c r="BA113" s="177">
        <v>1005605</v>
      </c>
      <c r="BB113" s="177">
        <v>17624000</v>
      </c>
      <c r="BC113" s="177">
        <v>4000000</v>
      </c>
      <c r="BD113" s="177">
        <v>258129836</v>
      </c>
      <c r="BE113" s="177">
        <v>178988344</v>
      </c>
      <c r="BF113" s="177">
        <v>-268092866</v>
      </c>
      <c r="BG113" s="273">
        <v>0</v>
      </c>
      <c r="BH113" s="273">
        <v>0</v>
      </c>
      <c r="BI113" s="273">
        <v>0</v>
      </c>
      <c r="BJ113" s="273">
        <v>0</v>
      </c>
      <c r="BK113" s="273">
        <v>0</v>
      </c>
      <c r="BL113" s="273">
        <v>0</v>
      </c>
      <c r="BM113" s="273">
        <v>0</v>
      </c>
      <c r="BN113" s="273">
        <v>0</v>
      </c>
      <c r="BO113" s="273">
        <v>0</v>
      </c>
      <c r="BP113" s="273">
        <v>0</v>
      </c>
      <c r="BQ113" s="299">
        <v>0</v>
      </c>
      <c r="BR113" s="273">
        <v>0</v>
      </c>
      <c r="BS113" s="273">
        <v>0</v>
      </c>
      <c r="BT113" s="177">
        <v>0</v>
      </c>
      <c r="BU113" s="177">
        <v>0</v>
      </c>
      <c r="BV113" s="177">
        <v>0</v>
      </c>
      <c r="BW113" s="177">
        <v>0</v>
      </c>
      <c r="BX113" s="272">
        <v>0</v>
      </c>
      <c r="BY113" s="273">
        <v>0</v>
      </c>
      <c r="BZ113" s="273"/>
      <c r="CA113" s="273"/>
      <c r="CB113" s="273"/>
      <c r="CC113" s="273"/>
      <c r="CD113" s="273"/>
      <c r="CE113" s="273"/>
      <c r="CF113" s="273"/>
      <c r="CG113" s="273"/>
      <c r="CH113" s="273"/>
      <c r="CI113" s="273"/>
      <c r="CJ113" s="273"/>
      <c r="CK113" s="274">
        <v>0</v>
      </c>
      <c r="CL113" s="274"/>
      <c r="CM113" s="274"/>
      <c r="CN113" s="274"/>
      <c r="CO113" s="156">
        <f t="shared" si="5"/>
        <v>-173025314</v>
      </c>
      <c r="CP113" s="291">
        <f t="shared" si="6"/>
        <v>-1</v>
      </c>
    </row>
    <row r="114" spans="1:106" s="156" customFormat="1" ht="15.5">
      <c r="A114" s="150" t="str">
        <f t="shared" si="7"/>
        <v>in</v>
      </c>
      <c r="B114" s="151"/>
      <c r="C114" s="152" t="s">
        <v>228</v>
      </c>
      <c r="D114" s="176">
        <v>100001932683</v>
      </c>
      <c r="E114" s="176">
        <v>-1890955</v>
      </c>
      <c r="F114" s="176">
        <v>0</v>
      </c>
      <c r="G114" s="176">
        <v>-226080</v>
      </c>
      <c r="H114" s="176">
        <v>-143215</v>
      </c>
      <c r="I114" s="176">
        <v>-1521660</v>
      </c>
      <c r="J114" s="176">
        <v>-9604190</v>
      </c>
      <c r="K114" s="176">
        <v>0</v>
      </c>
      <c r="L114" s="176">
        <v>-36</v>
      </c>
      <c r="M114" s="176">
        <v>10000000</v>
      </c>
      <c r="N114" s="176">
        <v>0</v>
      </c>
      <c r="O114" s="176">
        <v>0</v>
      </c>
      <c r="P114" s="176">
        <v>3427864</v>
      </c>
      <c r="Q114" s="176">
        <v>100000000000</v>
      </c>
      <c r="R114" s="176">
        <v>-369295</v>
      </c>
      <c r="S114" s="176">
        <v>-11125850</v>
      </c>
      <c r="T114" s="176">
        <v>9999964</v>
      </c>
      <c r="U114" s="176">
        <v>100003427864</v>
      </c>
      <c r="V114" s="176">
        <v>0</v>
      </c>
      <c r="W114" s="176">
        <v>0</v>
      </c>
      <c r="X114" s="176">
        <v>0</v>
      </c>
      <c r="Y114" s="176">
        <v>0</v>
      </c>
      <c r="Z114" s="176">
        <v>0</v>
      </c>
      <c r="AA114" s="176">
        <v>0</v>
      </c>
      <c r="AB114" s="176">
        <v>0</v>
      </c>
      <c r="AC114" s="176">
        <v>0</v>
      </c>
      <c r="AD114" s="176">
        <v>0</v>
      </c>
      <c r="AE114" s="176">
        <v>0</v>
      </c>
      <c r="AF114" s="176">
        <v>0</v>
      </c>
      <c r="AG114" s="176">
        <v>0</v>
      </c>
      <c r="AH114" s="176">
        <v>0</v>
      </c>
      <c r="AI114" s="176">
        <v>0</v>
      </c>
      <c r="AJ114" s="176"/>
      <c r="AK114" s="176">
        <v>0</v>
      </c>
      <c r="AL114" s="176">
        <v>0</v>
      </c>
      <c r="AM114" s="176">
        <v>0</v>
      </c>
      <c r="AN114" s="176">
        <v>0</v>
      </c>
      <c r="AO114" s="160">
        <v>0</v>
      </c>
      <c r="AP114" s="176">
        <v>125842130</v>
      </c>
      <c r="AQ114" s="176">
        <v>0</v>
      </c>
      <c r="AR114" s="176">
        <v>743643</v>
      </c>
      <c r="AS114" s="176">
        <v>-3888000</v>
      </c>
      <c r="AT114" s="176">
        <v>-4336600</v>
      </c>
      <c r="AU114" s="176">
        <v>-430415</v>
      </c>
      <c r="AV114" s="176">
        <v>-253362821</v>
      </c>
      <c r="AW114" s="176">
        <v>-67678101</v>
      </c>
      <c r="AX114" s="176">
        <v>-68199391</v>
      </c>
      <c r="AY114" s="176">
        <v>-42816401</v>
      </c>
      <c r="AZ114" s="176">
        <v>286722471</v>
      </c>
      <c r="BA114" s="176">
        <v>289903486</v>
      </c>
      <c r="BB114" s="176">
        <v>-10815741</v>
      </c>
      <c r="BC114" s="176">
        <v>-3144357</v>
      </c>
      <c r="BD114" s="176">
        <v>-258129836</v>
      </c>
      <c r="BE114" s="176">
        <v>-178693893</v>
      </c>
      <c r="BF114" s="176">
        <v>565810216</v>
      </c>
      <c r="BG114" s="273">
        <v>0</v>
      </c>
      <c r="BH114" s="273">
        <v>0</v>
      </c>
      <c r="BI114" s="273">
        <v>0</v>
      </c>
      <c r="BJ114" s="273">
        <v>0</v>
      </c>
      <c r="BK114" s="273">
        <v>0</v>
      </c>
      <c r="BL114" s="273">
        <v>0</v>
      </c>
      <c r="BM114" s="273">
        <v>0</v>
      </c>
      <c r="BN114" s="273">
        <v>0</v>
      </c>
      <c r="BO114" s="273">
        <v>0</v>
      </c>
      <c r="BP114" s="273">
        <v>0</v>
      </c>
      <c r="BQ114" s="298">
        <v>0</v>
      </c>
      <c r="BR114" s="273">
        <v>0</v>
      </c>
      <c r="BS114" s="273">
        <v>0</v>
      </c>
      <c r="BT114" s="176">
        <v>0</v>
      </c>
      <c r="BU114" s="176">
        <v>0</v>
      </c>
      <c r="BV114" s="176">
        <v>0</v>
      </c>
      <c r="BW114" s="176">
        <v>0</v>
      </c>
      <c r="BX114" s="272">
        <v>0</v>
      </c>
      <c r="BY114" s="273">
        <v>0</v>
      </c>
      <c r="BZ114" s="273"/>
      <c r="CA114" s="273"/>
      <c r="CB114" s="273"/>
      <c r="CC114" s="273"/>
      <c r="CD114" s="273"/>
      <c r="CE114" s="273"/>
      <c r="CF114" s="273"/>
      <c r="CG114" s="273"/>
      <c r="CH114" s="273"/>
      <c r="CI114" s="273"/>
      <c r="CJ114" s="273"/>
      <c r="CK114" s="274">
        <v>0</v>
      </c>
      <c r="CL114" s="274"/>
      <c r="CM114" s="274"/>
      <c r="CN114" s="274"/>
      <c r="CO114" s="156">
        <f t="shared" si="5"/>
        <v>-125842130</v>
      </c>
      <c r="CP114" s="291">
        <f t="shared" si="6"/>
        <v>-1</v>
      </c>
    </row>
    <row r="115" spans="1:106" s="156" customFormat="1" ht="36" customHeight="1">
      <c r="A115" s="150" t="str">
        <f t="shared" si="7"/>
        <v>in</v>
      </c>
      <c r="B115" s="151"/>
      <c r="C115" s="152" t="s">
        <v>229</v>
      </c>
      <c r="D115" s="176">
        <v>150901188114</v>
      </c>
      <c r="E115" s="176">
        <v>-16157015924</v>
      </c>
      <c r="F115" s="176">
        <v>-703213379</v>
      </c>
      <c r="G115" s="176">
        <v>-1224188848</v>
      </c>
      <c r="H115" s="176">
        <v>-13706932353</v>
      </c>
      <c r="I115" s="176">
        <v>-522681344</v>
      </c>
      <c r="J115" s="176">
        <v>9122803601</v>
      </c>
      <c r="K115" s="176">
        <v>-21864145615</v>
      </c>
      <c r="L115" s="176">
        <v>2865499574</v>
      </c>
      <c r="M115" s="176">
        <v>4268310820</v>
      </c>
      <c r="N115" s="176">
        <v>87291173366</v>
      </c>
      <c r="O115" s="176">
        <v>95647631</v>
      </c>
      <c r="P115" s="176">
        <v>-4441737875</v>
      </c>
      <c r="Q115" s="176">
        <v>89720652536</v>
      </c>
      <c r="R115" s="176">
        <v>-15634334580</v>
      </c>
      <c r="S115" s="176">
        <v>-13264023358</v>
      </c>
      <c r="T115" s="176">
        <v>94424983760</v>
      </c>
      <c r="U115" s="176">
        <v>85374562292</v>
      </c>
      <c r="V115" s="176">
        <v>8983362994.6234322</v>
      </c>
      <c r="W115" s="176">
        <v>8983362994.6234322</v>
      </c>
      <c r="X115" s="176">
        <v>1198142923.8178244</v>
      </c>
      <c r="Y115" s="176">
        <v>-194600078.38888144</v>
      </c>
      <c r="Z115" s="176">
        <v>-13503274725.871498</v>
      </c>
      <c r="AA115" s="176">
        <v>46791197.267679453</v>
      </c>
      <c r="AB115" s="176">
        <v>63831630.952973127</v>
      </c>
      <c r="AC115" s="176">
        <v>-26137429861.518486</v>
      </c>
      <c r="AD115" s="176">
        <v>3393204265.1993208</v>
      </c>
      <c r="AE115" s="176">
        <v>4851588324.5854292</v>
      </c>
      <c r="AF115" s="176">
        <v>36429965166.536476</v>
      </c>
      <c r="AG115" s="176">
        <v>72881646.850679398</v>
      </c>
      <c r="AH115" s="176">
        <v>-54803596.342394352</v>
      </c>
      <c r="AI115" s="176">
        <v>2817066101.5343103</v>
      </c>
      <c r="AJ115" s="176"/>
      <c r="AK115" s="176">
        <v>-12499731880.442554</v>
      </c>
      <c r="AL115" s="176">
        <v>-26026807033.297832</v>
      </c>
      <c r="AM115" s="176">
        <v>44674757756.321228</v>
      </c>
      <c r="AN115" s="176">
        <v>2835144152.0425954</v>
      </c>
      <c r="AO115" s="160">
        <v>5.9531426537456085E-2</v>
      </c>
      <c r="AP115" s="176">
        <v>29721678185</v>
      </c>
      <c r="AQ115" s="176">
        <v>1267113621</v>
      </c>
      <c r="AR115" s="176">
        <v>21113199</v>
      </c>
      <c r="AS115" s="176">
        <v>-12471638853</v>
      </c>
      <c r="AT115" s="176">
        <v>5083429712</v>
      </c>
      <c r="AU115" s="176">
        <v>469699928</v>
      </c>
      <c r="AV115" s="176">
        <v>1399545134</v>
      </c>
      <c r="AW115" s="176">
        <v>2440187892</v>
      </c>
      <c r="AX115" s="176">
        <v>4586860083</v>
      </c>
      <c r="AY115" s="176">
        <v>12212844902</v>
      </c>
      <c r="AZ115" s="176">
        <v>437803822</v>
      </c>
      <c r="BA115" s="176">
        <v>-2808804618</v>
      </c>
      <c r="BB115" s="176">
        <v>17083523363</v>
      </c>
      <c r="BC115" s="176">
        <v>-11183412033</v>
      </c>
      <c r="BD115" s="176">
        <v>6952674774</v>
      </c>
      <c r="BE115" s="176">
        <v>19239892877</v>
      </c>
      <c r="BF115" s="176">
        <v>14712522567</v>
      </c>
      <c r="BG115" s="273">
        <v>361425424112</v>
      </c>
      <c r="BH115" s="273">
        <v>-50594250</v>
      </c>
      <c r="BI115" s="273">
        <v>-115071304</v>
      </c>
      <c r="BJ115" s="273">
        <v>1882613408</v>
      </c>
      <c r="BK115" s="273">
        <v>183666232</v>
      </c>
      <c r="BL115" s="273">
        <v>-471190955</v>
      </c>
      <c r="BM115" s="273">
        <v>2319495055</v>
      </c>
      <c r="BN115" s="273">
        <v>2756464478</v>
      </c>
      <c r="BO115" s="273">
        <v>5267070127</v>
      </c>
      <c r="BP115" s="273">
        <v>11029109021</v>
      </c>
      <c r="BQ115" s="298">
        <v>340206011858</v>
      </c>
      <c r="BR115" s="273">
        <v>-3065265087</v>
      </c>
      <c r="BS115" s="273">
        <v>1483115529</v>
      </c>
      <c r="BT115" s="176">
        <v>1716947854</v>
      </c>
      <c r="BU115" s="176">
        <v>2031970332</v>
      </c>
      <c r="BV115" s="176">
        <v>19052643626</v>
      </c>
      <c r="BW115" s="176">
        <v>338623862300</v>
      </c>
      <c r="BX115" s="272">
        <v>47467543</v>
      </c>
      <c r="BY115" s="273">
        <v>47467543</v>
      </c>
      <c r="BZ115" s="273"/>
      <c r="CA115" s="273"/>
      <c r="CB115" s="273"/>
      <c r="CC115" s="273"/>
      <c r="CD115" s="273"/>
      <c r="CE115" s="273"/>
      <c r="CF115" s="273"/>
      <c r="CG115" s="273"/>
      <c r="CH115" s="273"/>
      <c r="CI115" s="273"/>
      <c r="CJ115" s="273"/>
      <c r="CK115" s="274">
        <v>47467543</v>
      </c>
      <c r="CL115" s="274"/>
      <c r="CM115" s="274"/>
      <c r="CN115" s="274"/>
      <c r="CO115" s="156">
        <f t="shared" si="5"/>
        <v>331703745927</v>
      </c>
      <c r="CP115" s="291">
        <f t="shared" si="6"/>
        <v>11.160330310500601</v>
      </c>
    </row>
    <row r="116" spans="1:106" s="156" customFormat="1" ht="15.5" hidden="1" outlineLevel="1">
      <c r="A116" s="150" t="str">
        <f t="shared" si="7"/>
        <v>ẩn</v>
      </c>
      <c r="B116" s="151"/>
      <c r="C116" s="152" t="s">
        <v>230</v>
      </c>
      <c r="D116" s="176">
        <v>0</v>
      </c>
      <c r="E116" s="176">
        <v>0</v>
      </c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>
        <v>0</v>
      </c>
      <c r="S116" s="176">
        <v>0</v>
      </c>
      <c r="T116" s="176">
        <v>0</v>
      </c>
      <c r="U116" s="176">
        <v>0</v>
      </c>
      <c r="V116" s="176">
        <v>0</v>
      </c>
      <c r="W116" s="176">
        <v>0</v>
      </c>
      <c r="X116" s="176"/>
      <c r="Y116" s="176"/>
      <c r="Z116" s="176"/>
      <c r="AA116" s="176"/>
      <c r="AB116" s="176"/>
      <c r="AC116" s="176"/>
      <c r="AD116" s="176"/>
      <c r="AE116" s="176"/>
      <c r="AF116" s="176"/>
      <c r="AG116" s="176"/>
      <c r="AH116" s="176"/>
      <c r="AI116" s="176"/>
      <c r="AJ116" s="176"/>
      <c r="AK116" s="176">
        <v>0</v>
      </c>
      <c r="AL116" s="176">
        <v>0</v>
      </c>
      <c r="AM116" s="176">
        <v>0</v>
      </c>
      <c r="AN116" s="176">
        <v>0</v>
      </c>
      <c r="AO116" s="160"/>
      <c r="AP116" s="176">
        <v>0</v>
      </c>
      <c r="AQ116" s="176"/>
      <c r="AR116" s="176"/>
      <c r="AS116" s="176"/>
      <c r="AT116" s="176"/>
      <c r="AU116" s="176"/>
      <c r="AV116" s="176"/>
      <c r="AW116" s="176"/>
      <c r="AX116" s="176"/>
      <c r="AY116" s="176"/>
      <c r="AZ116" s="176"/>
      <c r="BA116" s="176"/>
      <c r="BB116" s="176"/>
      <c r="BC116" s="176">
        <v>0</v>
      </c>
      <c r="BD116" s="176">
        <v>0</v>
      </c>
      <c r="BE116" s="176">
        <v>0</v>
      </c>
      <c r="BF116" s="176">
        <v>0</v>
      </c>
      <c r="BG116" s="273">
        <v>0</v>
      </c>
      <c r="BH116" s="273"/>
      <c r="BI116" s="273"/>
      <c r="BJ116" s="273"/>
      <c r="BK116" s="273"/>
      <c r="BL116" s="273"/>
      <c r="BM116" s="273"/>
      <c r="BN116" s="273"/>
      <c r="BO116" s="273"/>
      <c r="BP116" s="273"/>
      <c r="BQ116" s="298"/>
      <c r="BR116" s="273"/>
      <c r="BS116" s="273"/>
      <c r="BT116" s="176">
        <v>0</v>
      </c>
      <c r="BU116" s="176">
        <v>0</v>
      </c>
      <c r="BV116" s="176">
        <v>0</v>
      </c>
      <c r="BW116" s="176">
        <v>0</v>
      </c>
      <c r="BX116" s="272">
        <v>0</v>
      </c>
      <c r="BY116" s="273"/>
      <c r="BZ116" s="273"/>
      <c r="CA116" s="273"/>
      <c r="CB116" s="273"/>
      <c r="CC116" s="273"/>
      <c r="CD116" s="273"/>
      <c r="CE116" s="273"/>
      <c r="CF116" s="273"/>
      <c r="CG116" s="273"/>
      <c r="CH116" s="273"/>
      <c r="CI116" s="273"/>
      <c r="CJ116" s="273"/>
      <c r="CK116" s="274"/>
      <c r="CL116" s="274"/>
      <c r="CM116" s="274"/>
      <c r="CN116" s="274"/>
      <c r="CO116" s="156">
        <f t="shared" si="5"/>
        <v>0</v>
      </c>
      <c r="CP116" s="291" t="str">
        <f t="shared" si="6"/>
        <v/>
      </c>
    </row>
    <row r="117" spans="1:106" s="156" customFormat="1" ht="15.5" hidden="1" outlineLevel="1">
      <c r="A117" s="150" t="str">
        <f t="shared" si="7"/>
        <v>ẩn</v>
      </c>
      <c r="B117" s="151"/>
      <c r="C117" s="152" t="s">
        <v>231</v>
      </c>
      <c r="D117" s="176">
        <v>0</v>
      </c>
      <c r="E117" s="176">
        <v>0</v>
      </c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>
        <v>0</v>
      </c>
      <c r="S117" s="176">
        <v>0</v>
      </c>
      <c r="T117" s="176">
        <v>0</v>
      </c>
      <c r="U117" s="176">
        <v>0</v>
      </c>
      <c r="V117" s="176">
        <v>0</v>
      </c>
      <c r="W117" s="176">
        <v>0</v>
      </c>
      <c r="X117" s="176"/>
      <c r="Y117" s="176"/>
      <c r="Z117" s="176"/>
      <c r="AA117" s="176"/>
      <c r="AB117" s="176"/>
      <c r="AC117" s="176"/>
      <c r="AD117" s="176"/>
      <c r="AE117" s="176"/>
      <c r="AF117" s="176"/>
      <c r="AG117" s="176"/>
      <c r="AH117" s="176"/>
      <c r="AI117" s="176"/>
      <c r="AJ117" s="176"/>
      <c r="AK117" s="176">
        <v>0</v>
      </c>
      <c r="AL117" s="176">
        <v>0</v>
      </c>
      <c r="AM117" s="176">
        <v>0</v>
      </c>
      <c r="AN117" s="176">
        <v>0</v>
      </c>
      <c r="AO117" s="160"/>
      <c r="AP117" s="176">
        <v>0</v>
      </c>
      <c r="AQ117" s="176"/>
      <c r="AR117" s="176"/>
      <c r="AS117" s="176"/>
      <c r="AT117" s="176"/>
      <c r="AU117" s="176"/>
      <c r="AV117" s="176"/>
      <c r="AW117" s="176"/>
      <c r="AX117" s="176"/>
      <c r="AY117" s="176"/>
      <c r="AZ117" s="176"/>
      <c r="BA117" s="176"/>
      <c r="BB117" s="176"/>
      <c r="BC117" s="176">
        <v>0</v>
      </c>
      <c r="BD117" s="176">
        <v>0</v>
      </c>
      <c r="BE117" s="176">
        <v>0</v>
      </c>
      <c r="BF117" s="176">
        <v>0</v>
      </c>
      <c r="BG117" s="273">
        <v>0</v>
      </c>
      <c r="BH117" s="273"/>
      <c r="BI117" s="273"/>
      <c r="BJ117" s="273"/>
      <c r="BK117" s="273"/>
      <c r="BL117" s="273"/>
      <c r="BM117" s="273"/>
      <c r="BN117" s="273"/>
      <c r="BO117" s="273"/>
      <c r="BP117" s="273"/>
      <c r="BQ117" s="298"/>
      <c r="BR117" s="273"/>
      <c r="BS117" s="273"/>
      <c r="BT117" s="176">
        <v>0</v>
      </c>
      <c r="BU117" s="176">
        <v>0</v>
      </c>
      <c r="BV117" s="176">
        <v>0</v>
      </c>
      <c r="BW117" s="176">
        <v>0</v>
      </c>
      <c r="BX117" s="272">
        <v>0</v>
      </c>
      <c r="BY117" s="273"/>
      <c r="BZ117" s="273"/>
      <c r="CA117" s="273"/>
      <c r="CB117" s="273"/>
      <c r="CC117" s="273"/>
      <c r="CD117" s="273"/>
      <c r="CE117" s="273"/>
      <c r="CF117" s="273"/>
      <c r="CG117" s="273"/>
      <c r="CH117" s="273"/>
      <c r="CI117" s="273"/>
      <c r="CJ117" s="273"/>
      <c r="CK117" s="274"/>
      <c r="CL117" s="274"/>
      <c r="CM117" s="274"/>
      <c r="CN117" s="274"/>
      <c r="CO117" s="156">
        <f t="shared" si="5"/>
        <v>0</v>
      </c>
      <c r="CP117" s="291" t="str">
        <f t="shared" si="6"/>
        <v/>
      </c>
    </row>
    <row r="118" spans="1:106" s="156" customFormat="1" ht="35.25" customHeight="1" collapsed="1">
      <c r="A118" s="150" t="str">
        <f t="shared" si="7"/>
        <v>in</v>
      </c>
      <c r="B118" s="151"/>
      <c r="C118" s="201" t="s">
        <v>232</v>
      </c>
      <c r="D118" s="202">
        <v>150901188114</v>
      </c>
      <c r="E118" s="202">
        <v>-16157015924</v>
      </c>
      <c r="F118" s="202">
        <v>-703213379</v>
      </c>
      <c r="G118" s="202">
        <v>-1224188848</v>
      </c>
      <c r="H118" s="202">
        <v>-13706932353</v>
      </c>
      <c r="I118" s="202">
        <v>-522681344</v>
      </c>
      <c r="J118" s="202">
        <v>9122803601</v>
      </c>
      <c r="K118" s="202">
        <v>-21864145615</v>
      </c>
      <c r="L118" s="202">
        <v>2865499574</v>
      </c>
      <c r="M118" s="202">
        <v>4268310820</v>
      </c>
      <c r="N118" s="202">
        <v>87291173366</v>
      </c>
      <c r="O118" s="202">
        <v>95647631</v>
      </c>
      <c r="P118" s="202">
        <v>-4441737875</v>
      </c>
      <c r="Q118" s="202">
        <v>89720652536</v>
      </c>
      <c r="R118" s="202">
        <v>-15634334580</v>
      </c>
      <c r="S118" s="202">
        <v>-13264023358</v>
      </c>
      <c r="T118" s="202">
        <v>94424983760</v>
      </c>
      <c r="U118" s="202">
        <v>85374562292</v>
      </c>
      <c r="V118" s="202">
        <v>8983362994.6234322</v>
      </c>
      <c r="W118" s="202">
        <v>8983362994.6234322</v>
      </c>
      <c r="X118" s="202">
        <v>1198142923.8178244</v>
      </c>
      <c r="Y118" s="202">
        <v>-194600078.38888144</v>
      </c>
      <c r="Z118" s="202">
        <v>-13503274725.871498</v>
      </c>
      <c r="AA118" s="202">
        <v>46791197.267679453</v>
      </c>
      <c r="AB118" s="202">
        <v>63831630.952973127</v>
      </c>
      <c r="AC118" s="202">
        <v>-26137429861.518486</v>
      </c>
      <c r="AD118" s="202">
        <v>3393204265.1993208</v>
      </c>
      <c r="AE118" s="202">
        <v>4851588324.5854292</v>
      </c>
      <c r="AF118" s="202">
        <v>36429965166.536476</v>
      </c>
      <c r="AG118" s="202">
        <v>72881646.850679398</v>
      </c>
      <c r="AH118" s="202">
        <v>-54803596.342394352</v>
      </c>
      <c r="AI118" s="202">
        <v>2817066101.5343103</v>
      </c>
      <c r="AJ118" s="202"/>
      <c r="AK118" s="202">
        <v>-12499731880.442554</v>
      </c>
      <c r="AL118" s="202">
        <v>-26026807033.297832</v>
      </c>
      <c r="AM118" s="202">
        <v>44674757756.321228</v>
      </c>
      <c r="AN118" s="202">
        <v>2835144152.0425954</v>
      </c>
      <c r="AO118" s="160">
        <v>5.9531426537456085E-2</v>
      </c>
      <c r="AP118" s="202">
        <v>29721678185</v>
      </c>
      <c r="AQ118" s="202">
        <v>1267113621</v>
      </c>
      <c r="AR118" s="202">
        <v>21113199</v>
      </c>
      <c r="AS118" s="202">
        <v>-12471638853</v>
      </c>
      <c r="AT118" s="202">
        <v>5083429712</v>
      </c>
      <c r="AU118" s="202">
        <v>469699928</v>
      </c>
      <c r="AV118" s="202">
        <v>1399545134</v>
      </c>
      <c r="AW118" s="202">
        <v>2440187892</v>
      </c>
      <c r="AX118" s="202">
        <v>4586860083</v>
      </c>
      <c r="AY118" s="202">
        <v>12212844902</v>
      </c>
      <c r="AZ118" s="202">
        <v>437803822</v>
      </c>
      <c r="BA118" s="202">
        <v>-2808804618</v>
      </c>
      <c r="BB118" s="202">
        <v>17083523363</v>
      </c>
      <c r="BC118" s="202">
        <v>-11183412033</v>
      </c>
      <c r="BD118" s="202">
        <v>6952674774</v>
      </c>
      <c r="BE118" s="202">
        <v>19239892877</v>
      </c>
      <c r="BF118" s="202">
        <v>14712522567</v>
      </c>
      <c r="BG118" s="307">
        <v>361425424112</v>
      </c>
      <c r="BH118" s="273">
        <v>-50594250</v>
      </c>
      <c r="BI118" s="273">
        <v>-115071304</v>
      </c>
      <c r="BJ118" s="273">
        <v>1882613408</v>
      </c>
      <c r="BK118" s="273">
        <v>183666232</v>
      </c>
      <c r="BL118" s="273">
        <v>-471190955</v>
      </c>
      <c r="BM118" s="273">
        <v>2319495055</v>
      </c>
      <c r="BN118" s="273">
        <v>2756464478</v>
      </c>
      <c r="BO118" s="273">
        <v>5267070127</v>
      </c>
      <c r="BP118" s="273">
        <v>11029109021</v>
      </c>
      <c r="BQ118" s="307">
        <v>340206011858</v>
      </c>
      <c r="BR118" s="273">
        <v>-3065265087</v>
      </c>
      <c r="BS118" s="273">
        <v>1483115529</v>
      </c>
      <c r="BT118" s="308">
        <v>1716947854</v>
      </c>
      <c r="BU118" s="308">
        <v>2031970332</v>
      </c>
      <c r="BV118" s="308">
        <v>19052643626</v>
      </c>
      <c r="BW118" s="308">
        <v>338623862300</v>
      </c>
      <c r="BX118" s="272">
        <v>47467543</v>
      </c>
      <c r="BY118" s="273">
        <v>47467543</v>
      </c>
      <c r="BZ118" s="273"/>
      <c r="CA118" s="273"/>
      <c r="CB118" s="273"/>
      <c r="CC118" s="273"/>
      <c r="CD118" s="273"/>
      <c r="CE118" s="273"/>
      <c r="CF118" s="273"/>
      <c r="CG118" s="273"/>
      <c r="CH118" s="273"/>
      <c r="CI118" s="273"/>
      <c r="CJ118" s="273"/>
      <c r="CK118" s="274">
        <v>47467543</v>
      </c>
      <c r="CL118" s="274"/>
      <c r="CM118" s="274"/>
      <c r="CN118" s="274"/>
      <c r="CO118" s="156">
        <f t="shared" si="5"/>
        <v>331703745927</v>
      </c>
      <c r="CP118" s="291">
        <f t="shared" si="6"/>
        <v>11.160330310500601</v>
      </c>
      <c r="CQ118" s="293">
        <f>AQ118/X118</f>
        <v>1.0575646659602211</v>
      </c>
      <c r="CR118" s="293">
        <f t="shared" ref="CR118:DB118" si="8">AR118/Y118</f>
        <v>-0.10849532628557415</v>
      </c>
      <c r="CS118" s="293">
        <f t="shared" si="8"/>
        <v>0.92360106020097898</v>
      </c>
      <c r="CT118" s="293">
        <f>AT118/AA118</f>
        <v>108.64072750519952</v>
      </c>
      <c r="CU118" s="293">
        <f t="shared" si="8"/>
        <v>7.3584196578972492</v>
      </c>
      <c r="CV118" s="293">
        <f t="shared" si="8"/>
        <v>-5.3545629444634757E-2</v>
      </c>
      <c r="CW118" s="293">
        <f t="shared" si="8"/>
        <v>0.71913969843388148</v>
      </c>
      <c r="CX118" s="293">
        <f t="shared" si="8"/>
        <v>0.94543472696479247</v>
      </c>
      <c r="CY118" s="293">
        <f t="shared" si="8"/>
        <v>0.33524173976477939</v>
      </c>
      <c r="CZ118" s="293">
        <f t="shared" si="8"/>
        <v>6.0070517190284765</v>
      </c>
      <c r="DA118" s="293">
        <f t="shared" si="8"/>
        <v>51.252195210904368</v>
      </c>
      <c r="DB118" s="293">
        <f t="shared" si="8"/>
        <v>6.0642962384501686</v>
      </c>
    </row>
    <row r="119" spans="1:106" ht="31.5" customHeight="1">
      <c r="A119" s="138"/>
      <c r="B119" s="138"/>
      <c r="C119" s="203" t="s">
        <v>233</v>
      </c>
      <c r="D119" s="204"/>
      <c r="E119" s="205"/>
      <c r="F119" s="205" t="e">
        <f>F118-'[16]CHI TIẾT KHKD 2025'!O201</f>
        <v>#REF!</v>
      </c>
      <c r="G119" s="205" t="e">
        <f>G118-'[16]CHI TIẾT KHKD 2025'!P201</f>
        <v>#REF!</v>
      </c>
      <c r="H119" s="205" t="e">
        <f>H118-'[16]CHI TIẾT KHKD 2025'!Q201</f>
        <v>#REF!</v>
      </c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6" t="e">
        <f ca="1">SUM(OFFSET(X119,0,0,1,$E$5))</f>
        <v>#REF!</v>
      </c>
      <c r="X119" s="205" t="e">
        <f>X118-'[16]CHI TIẾT KHKD 2025'!AB201</f>
        <v>#REF!</v>
      </c>
      <c r="Y119" s="205" t="e">
        <f>Y118-'[16]CHI TIẾT KHKD 2025'!AC201</f>
        <v>#REF!</v>
      </c>
      <c r="Z119" s="205" t="e">
        <f>Z118-'[16]CHI TIẾT KHKD 2025'!AD201</f>
        <v>#REF!</v>
      </c>
      <c r="AA119" s="205" t="e">
        <f>AA118-'[16]CHI TIẾT KHKD 2025'!AE201</f>
        <v>#REF!</v>
      </c>
      <c r="AB119" s="205" t="e">
        <f>AB118-'[16]CHI TIẾT KHKD 2025'!AF201</f>
        <v>#REF!</v>
      </c>
      <c r="AC119" s="205" t="e">
        <f>AC118-'[16]CHI TIẾT KHKD 2025'!AG201</f>
        <v>#REF!</v>
      </c>
      <c r="AD119" s="205" t="e">
        <f>AD118-'[16]CHI TIẾT KHKD 2025'!AH201</f>
        <v>#REF!</v>
      </c>
      <c r="AE119" s="205" t="e">
        <f>AE118-'[16]CHI TIẾT KHKD 2025'!AI201</f>
        <v>#REF!</v>
      </c>
      <c r="AF119" s="205" t="e">
        <f>AF118-'[16]CHI TIẾT KHKD 2025'!AJ201</f>
        <v>#REF!</v>
      </c>
      <c r="AG119" s="205" t="e">
        <f>AG118-'[16]CHI TIẾT KHKD 2025'!AK201</f>
        <v>#REF!</v>
      </c>
      <c r="AH119" s="205" t="e">
        <f>AH118-'[16]CHI TIẾT KHKD 2025'!AL201</f>
        <v>#REF!</v>
      </c>
      <c r="AI119" s="205" t="e">
        <f>AI118-'[16]CHI TIẾT KHKD 2025'!AM201</f>
        <v>#REF!</v>
      </c>
      <c r="AJ119" s="205"/>
      <c r="AK119" s="205">
        <f>AK118+AK72</f>
        <v>6920144900.5574455</v>
      </c>
      <c r="AL119" s="205"/>
      <c r="AM119" s="205"/>
      <c r="AN119" s="205"/>
      <c r="AO119" s="205"/>
      <c r="AP119" s="205"/>
      <c r="AQ119" s="205" t="e">
        <f>AQ118-'[16]CHI TIẾT KHKD 2025'!AO201</f>
        <v>#REF!</v>
      </c>
      <c r="AR119" s="205" t="e">
        <f>AR118-'[16]CHI TIẾT KHKD 2025'!AP201</f>
        <v>#REF!</v>
      </c>
      <c r="AS119" s="205" t="e">
        <f>AS118-'[16]CHI TIẾT KHKD 2025'!AQ201</f>
        <v>#REF!</v>
      </c>
      <c r="AT119" s="205" t="e">
        <f>AT118-'[16]CHI TIẾT KHKD 2025'!AR201</f>
        <v>#REF!</v>
      </c>
      <c r="AU119" s="205" t="e">
        <f>AU118-'[16]CHI TIẾT KHKD 2025'!AS201</f>
        <v>#REF!</v>
      </c>
      <c r="AV119" s="205" t="e">
        <f>AV118-'[16]CHI TIẾT KHKD 2025'!AT201</f>
        <v>#REF!</v>
      </c>
      <c r="AW119" s="205" t="e">
        <f>AW118-'[16]CHI TIẾT KHKD 2025'!AU201</f>
        <v>#REF!</v>
      </c>
      <c r="AX119" s="205" t="e">
        <f>AX118-'[16]CHI TIẾT KHKD 2025'!AV201</f>
        <v>#REF!</v>
      </c>
      <c r="AY119" s="205" t="e">
        <f>AY118-'[16]CHI TIẾT KHKD 2025'!AW201</f>
        <v>#REF!</v>
      </c>
      <c r="AZ119" s="205" t="e">
        <f>AZ118-'[16]CHI TIẾT KHKD 2025'!AX201</f>
        <v>#REF!</v>
      </c>
      <c r="BA119" s="205" t="e">
        <f>BA118-'[16]CHI TIẾT KHKD 2025'!AY201</f>
        <v>#REF!</v>
      </c>
      <c r="BB119" s="205" t="e">
        <f>BB118-'[16]CHI TIẾT KHKD 2025'!AZ201</f>
        <v>#REF!</v>
      </c>
      <c r="BC119" s="205"/>
      <c r="CO119" s="156">
        <f t="shared" si="5"/>
        <v>0</v>
      </c>
      <c r="CP119" s="291" t="str">
        <f t="shared" si="6"/>
        <v/>
      </c>
      <c r="CQ119" s="294">
        <f>AP118/V118</f>
        <v>3.3085246808782531</v>
      </c>
      <c r="CR119" s="294">
        <f>AP118/D118</f>
        <v>0.19696119398706408</v>
      </c>
    </row>
    <row r="120" spans="1:106" ht="31.5" customHeight="1">
      <c r="A120" s="138"/>
      <c r="B120" s="138"/>
      <c r="C120" s="203"/>
      <c r="D120" s="204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>
        <f>X84-'[16]CHI TIẾT KHKD 2025'!AB109</f>
        <v>0</v>
      </c>
      <c r="Y120" s="205">
        <f>Y84-'[16]CHI TIẾT KHKD 2025'!AC109</f>
        <v>0</v>
      </c>
      <c r="Z120" s="205">
        <f>Z84-'[16]CHI TIẾT KHKD 2025'!AD109</f>
        <v>0</v>
      </c>
      <c r="AA120" s="205">
        <f>AA84-'[16]CHI TIẾT KHKD 2025'!AE109</f>
        <v>0</v>
      </c>
      <c r="AB120" s="205">
        <f>AB84-'[16]CHI TIẾT KHKD 2025'!AF109</f>
        <v>0</v>
      </c>
      <c r="AC120" s="205">
        <f>AC84-'[16]CHI TIẾT KHKD 2025'!AG109</f>
        <v>0</v>
      </c>
      <c r="AD120" s="205">
        <f>AD84-'[16]CHI TIẾT KHKD 2025'!AH109</f>
        <v>0</v>
      </c>
      <c r="AE120" s="205">
        <f>AE84-'[16]CHI TIẾT KHKD 2025'!AI109</f>
        <v>0</v>
      </c>
      <c r="AF120" s="205">
        <f>AF84-'[16]CHI TIẾT KHKD 2025'!AJ109</f>
        <v>0</v>
      </c>
      <c r="AG120" s="205">
        <f>AG84-'[16]CHI TIẾT KHKD 2025'!AK109</f>
        <v>0</v>
      </c>
      <c r="AH120" s="205">
        <f>AH84-'[16]CHI TIẾT KHKD 2025'!AL109</f>
        <v>0</v>
      </c>
      <c r="AI120" s="205">
        <f>AI84-'[16]CHI TIẾT KHKD 2025'!AM109</f>
        <v>0</v>
      </c>
      <c r="AJ120" s="205"/>
      <c r="AK120" s="205"/>
      <c r="AL120" s="205"/>
      <c r="AM120" s="205"/>
      <c r="AN120" s="205"/>
      <c r="AO120" s="205"/>
      <c r="AP120" s="242">
        <f>AP118/V118</f>
        <v>3.3085246808782531</v>
      </c>
      <c r="AQ120" s="206"/>
      <c r="AR120" s="205"/>
      <c r="AS120" s="205"/>
      <c r="AT120" s="205"/>
      <c r="AU120" s="205"/>
      <c r="AV120" s="205"/>
      <c r="AW120" s="205"/>
      <c r="AX120" s="205"/>
      <c r="AY120" s="205"/>
      <c r="AZ120" s="205"/>
      <c r="BA120" s="205"/>
      <c r="BB120" s="205"/>
      <c r="BC120" s="205"/>
      <c r="CO120" s="156">
        <f t="shared" si="5"/>
        <v>-3.3085246808782531</v>
      </c>
      <c r="CP120" s="291">
        <f t="shared" si="6"/>
        <v>-1</v>
      </c>
      <c r="CQ120" s="294">
        <f>AX118/W118</f>
        <v>0.51059498383236301</v>
      </c>
    </row>
    <row r="121" spans="1:106" ht="31.5" customHeight="1">
      <c r="A121" s="138"/>
      <c r="B121" s="138"/>
      <c r="C121" s="203" t="s">
        <v>498</v>
      </c>
      <c r="D121" s="204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  <c r="AG121" s="205"/>
      <c r="AH121" s="205"/>
      <c r="AI121" s="205"/>
      <c r="AJ121" s="205"/>
      <c r="AK121" s="205"/>
      <c r="AL121" s="205"/>
      <c r="AM121" s="205"/>
      <c r="AN121" s="205"/>
      <c r="AO121" s="205"/>
      <c r="AP121" s="205">
        <f t="shared" ref="AP121:BA121" si="9">AP28-AP29+AP52-AP66-AP83-AP84-AP118+AP112-AP113</f>
        <v>0</v>
      </c>
      <c r="AQ121" s="205">
        <f t="shared" si="9"/>
        <v>0</v>
      </c>
      <c r="AR121" s="205">
        <f t="shared" si="9"/>
        <v>0</v>
      </c>
      <c r="AS121" s="205">
        <f t="shared" si="9"/>
        <v>0</v>
      </c>
      <c r="AT121" s="205">
        <f t="shared" si="9"/>
        <v>0</v>
      </c>
      <c r="AU121" s="205">
        <f t="shared" si="9"/>
        <v>0</v>
      </c>
      <c r="AV121" s="205">
        <f t="shared" si="9"/>
        <v>0</v>
      </c>
      <c r="AW121" s="205">
        <f t="shared" si="9"/>
        <v>0</v>
      </c>
      <c r="AX121" s="205">
        <f t="shared" si="9"/>
        <v>0</v>
      </c>
      <c r="AY121" s="205">
        <f t="shared" si="9"/>
        <v>0</v>
      </c>
      <c r="AZ121" s="205">
        <f t="shared" si="9"/>
        <v>0</v>
      </c>
      <c r="BA121" s="205">
        <f t="shared" si="9"/>
        <v>0</v>
      </c>
      <c r="BB121" s="205">
        <f>BB28-BB29+BB52-BB66-BB83-BB84-BB118+BB112-BB113</f>
        <v>0</v>
      </c>
      <c r="BC121" s="205"/>
      <c r="BG121" s="205"/>
      <c r="BH121" s="309"/>
      <c r="BI121" s="205">
        <f t="shared" ref="BI121:BT121" si="10">BI118-(BI8-BI23-BI29+BI52-BI66-BI83-BI84+BI112-BI113)</f>
        <v>0</v>
      </c>
      <c r="BJ121" s="205">
        <f t="shared" si="10"/>
        <v>0</v>
      </c>
      <c r="BK121" s="205">
        <f t="shared" si="10"/>
        <v>0</v>
      </c>
      <c r="BL121" s="205">
        <f t="shared" si="10"/>
        <v>0</v>
      </c>
      <c r="BM121" s="205">
        <f t="shared" si="10"/>
        <v>0</v>
      </c>
      <c r="BN121" s="205">
        <f t="shared" si="10"/>
        <v>0</v>
      </c>
      <c r="BO121" s="205">
        <f t="shared" si="10"/>
        <v>0</v>
      </c>
      <c r="BP121" s="205">
        <f t="shared" si="10"/>
        <v>0</v>
      </c>
      <c r="BQ121" s="205">
        <f t="shared" si="10"/>
        <v>0</v>
      </c>
      <c r="BR121" s="205">
        <f t="shared" si="10"/>
        <v>0</v>
      </c>
      <c r="BS121" s="205">
        <f t="shared" si="10"/>
        <v>0</v>
      </c>
      <c r="BT121" s="205">
        <f t="shared" si="10"/>
        <v>0</v>
      </c>
      <c r="BU121" s="205">
        <f t="shared" ref="BU121:BW121" si="11">BU118-(BU8-BU23-BU29+BU52-BU66-BU83-BU84+BU112-BU113)</f>
        <v>0</v>
      </c>
      <c r="BV121" s="205">
        <f t="shared" si="11"/>
        <v>0</v>
      </c>
      <c r="BW121" s="205">
        <f t="shared" si="11"/>
        <v>0</v>
      </c>
      <c r="CO121" s="156">
        <f t="shared" si="5"/>
        <v>0</v>
      </c>
      <c r="CP121" s="291" t="str">
        <f t="shared" si="6"/>
        <v/>
      </c>
      <c r="CQ121" s="294">
        <f>AQ118/V118</f>
        <v>0.14105114329214694</v>
      </c>
    </row>
    <row r="122" spans="1:106" ht="31.5" customHeight="1">
      <c r="A122" s="138"/>
      <c r="B122" s="138"/>
      <c r="C122" s="203" t="s">
        <v>234</v>
      </c>
      <c r="D122" s="205">
        <f t="shared" ref="D122:Q122" si="12">D18-SUM(D19:D21)</f>
        <v>0</v>
      </c>
      <c r="E122" s="205">
        <f t="shared" si="12"/>
        <v>0</v>
      </c>
      <c r="F122" s="205">
        <f t="shared" si="12"/>
        <v>0</v>
      </c>
      <c r="G122" s="205">
        <f t="shared" si="12"/>
        <v>0</v>
      </c>
      <c r="H122" s="205">
        <f t="shared" si="12"/>
        <v>0</v>
      </c>
      <c r="I122" s="205">
        <f t="shared" si="12"/>
        <v>0</v>
      </c>
      <c r="J122" s="205">
        <f t="shared" si="12"/>
        <v>0</v>
      </c>
      <c r="K122" s="205">
        <f t="shared" si="12"/>
        <v>0</v>
      </c>
      <c r="L122" s="205">
        <f t="shared" si="12"/>
        <v>0</v>
      </c>
      <c r="M122" s="205">
        <f t="shared" si="12"/>
        <v>0</v>
      </c>
      <c r="N122" s="205">
        <f t="shared" si="12"/>
        <v>0</v>
      </c>
      <c r="O122" s="205">
        <f t="shared" si="12"/>
        <v>0</v>
      </c>
      <c r="P122" s="205">
        <f t="shared" si="12"/>
        <v>0</v>
      </c>
      <c r="Q122" s="205">
        <f t="shared" si="12"/>
        <v>0</v>
      </c>
      <c r="R122" s="205"/>
      <c r="S122" s="205"/>
      <c r="T122" s="205"/>
      <c r="U122" s="205"/>
      <c r="V122" s="205">
        <f>V18-SUM(V19:V21)</f>
        <v>0</v>
      </c>
      <c r="W122" s="205">
        <f>W18-SUM(W19:W21)</f>
        <v>0</v>
      </c>
      <c r="X122" s="205">
        <f t="shared" ref="X122:BF122" si="13">X18-SUM(X19:X21)</f>
        <v>0</v>
      </c>
      <c r="Y122" s="205">
        <f t="shared" si="13"/>
        <v>0</v>
      </c>
      <c r="Z122" s="205">
        <f t="shared" si="13"/>
        <v>0</v>
      </c>
      <c r="AA122" s="205">
        <f t="shared" si="13"/>
        <v>0</v>
      </c>
      <c r="AB122" s="205">
        <f t="shared" si="13"/>
        <v>0</v>
      </c>
      <c r="AC122" s="205">
        <f t="shared" si="13"/>
        <v>0</v>
      </c>
      <c r="AD122" s="205">
        <f t="shared" si="13"/>
        <v>0</v>
      </c>
      <c r="AE122" s="205">
        <f t="shared" si="13"/>
        <v>0</v>
      </c>
      <c r="AF122" s="205">
        <f t="shared" si="13"/>
        <v>0</v>
      </c>
      <c r="AG122" s="205">
        <f t="shared" si="13"/>
        <v>0</v>
      </c>
      <c r="AH122" s="205">
        <f t="shared" si="13"/>
        <v>0</v>
      </c>
      <c r="AI122" s="205">
        <f t="shared" si="13"/>
        <v>0</v>
      </c>
      <c r="AJ122" s="205"/>
      <c r="AK122" s="205"/>
      <c r="AL122" s="205"/>
      <c r="AM122" s="205"/>
      <c r="AN122" s="205"/>
      <c r="AO122" s="205"/>
      <c r="AP122" s="205">
        <f t="shared" si="13"/>
        <v>0</v>
      </c>
      <c r="AQ122" s="205">
        <f t="shared" si="13"/>
        <v>0</v>
      </c>
      <c r="AR122" s="205">
        <f t="shared" si="13"/>
        <v>0</v>
      </c>
      <c r="AS122" s="205">
        <f t="shared" si="13"/>
        <v>0</v>
      </c>
      <c r="AT122" s="205">
        <f t="shared" si="13"/>
        <v>0</v>
      </c>
      <c r="AU122" s="205">
        <f t="shared" si="13"/>
        <v>0</v>
      </c>
      <c r="AV122" s="205">
        <f t="shared" si="13"/>
        <v>0</v>
      </c>
      <c r="AW122" s="205">
        <f t="shared" si="13"/>
        <v>0</v>
      </c>
      <c r="AX122" s="205">
        <f t="shared" si="13"/>
        <v>0</v>
      </c>
      <c r="AY122" s="205">
        <f t="shared" si="13"/>
        <v>0</v>
      </c>
      <c r="AZ122" s="205">
        <f t="shared" si="13"/>
        <v>0</v>
      </c>
      <c r="BA122" s="205">
        <f t="shared" si="13"/>
        <v>0</v>
      </c>
      <c r="BB122" s="205">
        <f t="shared" si="13"/>
        <v>0</v>
      </c>
      <c r="BC122" s="205">
        <f t="shared" si="13"/>
        <v>0</v>
      </c>
      <c r="BD122" s="137">
        <f t="shared" si="13"/>
        <v>0</v>
      </c>
      <c r="BE122" s="137">
        <f t="shared" si="13"/>
        <v>0</v>
      </c>
      <c r="BF122" s="137">
        <f t="shared" si="13"/>
        <v>0</v>
      </c>
      <c r="BG122" s="205">
        <f>BG18-SUM(BG19:BG21)</f>
        <v>0</v>
      </c>
      <c r="BH122" s="309">
        <f>BH18-SUM(BH19:BH21)</f>
        <v>0</v>
      </c>
      <c r="BI122" s="205">
        <f t="shared" ref="BI122:BN122" si="14">BI18-SUM(BI19:BI21)</f>
        <v>0</v>
      </c>
      <c r="BJ122" s="205">
        <f t="shared" si="14"/>
        <v>0</v>
      </c>
      <c r="BK122" s="205">
        <f t="shared" si="14"/>
        <v>0</v>
      </c>
      <c r="BL122" s="205">
        <f t="shared" si="14"/>
        <v>0</v>
      </c>
      <c r="BM122" s="205">
        <f t="shared" si="14"/>
        <v>0</v>
      </c>
      <c r="BN122" s="205">
        <f t="shared" si="14"/>
        <v>0</v>
      </c>
      <c r="BO122" s="205">
        <f>BO18-SUM(BO19:BO21)</f>
        <v>0</v>
      </c>
      <c r="BP122" s="205">
        <f t="shared" ref="BP122:BT122" si="15">BP18-SUM(BP19:BP21)</f>
        <v>0</v>
      </c>
      <c r="BQ122" s="205">
        <f t="shared" si="15"/>
        <v>0</v>
      </c>
      <c r="BR122" s="205">
        <f t="shared" si="15"/>
        <v>0</v>
      </c>
      <c r="BS122" s="205">
        <f t="shared" si="15"/>
        <v>0</v>
      </c>
      <c r="BT122" s="205">
        <f t="shared" si="15"/>
        <v>0</v>
      </c>
      <c r="BU122" s="205">
        <f t="shared" ref="BU122:BW122" si="16">BU18-SUM(BU19:BU21)</f>
        <v>0</v>
      </c>
      <c r="BV122" s="205">
        <f t="shared" si="16"/>
        <v>0</v>
      </c>
      <c r="BW122" s="205">
        <f t="shared" si="16"/>
        <v>0</v>
      </c>
      <c r="CO122" s="156">
        <f t="shared" si="5"/>
        <v>0</v>
      </c>
      <c r="CP122" s="291" t="str">
        <f t="shared" si="6"/>
        <v/>
      </c>
    </row>
    <row r="123" spans="1:106" ht="31.5" customHeight="1">
      <c r="A123" s="138"/>
      <c r="B123" s="138"/>
      <c r="C123" s="203"/>
      <c r="D123" s="205">
        <f t="shared" ref="D123:Q123" si="17">D39-D40-D41</f>
        <v>0</v>
      </c>
      <c r="E123" s="205">
        <f t="shared" si="17"/>
        <v>0</v>
      </c>
      <c r="F123" s="205">
        <f t="shared" si="17"/>
        <v>0</v>
      </c>
      <c r="G123" s="205">
        <f t="shared" si="17"/>
        <v>0</v>
      </c>
      <c r="H123" s="205">
        <f t="shared" si="17"/>
        <v>0</v>
      </c>
      <c r="I123" s="205">
        <f t="shared" si="17"/>
        <v>0</v>
      </c>
      <c r="J123" s="205">
        <f t="shared" si="17"/>
        <v>0</v>
      </c>
      <c r="K123" s="205">
        <f t="shared" si="17"/>
        <v>0</v>
      </c>
      <c r="L123" s="205">
        <f t="shared" si="17"/>
        <v>0</v>
      </c>
      <c r="M123" s="205">
        <f t="shared" si="17"/>
        <v>0</v>
      </c>
      <c r="N123" s="205">
        <f t="shared" si="17"/>
        <v>0</v>
      </c>
      <c r="O123" s="205">
        <f t="shared" si="17"/>
        <v>0</v>
      </c>
      <c r="P123" s="205">
        <f t="shared" si="17"/>
        <v>0</v>
      </c>
      <c r="Q123" s="205">
        <f t="shared" si="17"/>
        <v>0</v>
      </c>
      <c r="R123" s="205"/>
      <c r="S123" s="205"/>
      <c r="T123" s="205"/>
      <c r="U123" s="205"/>
      <c r="V123" s="205">
        <f>V39-V40-V41</f>
        <v>0</v>
      </c>
      <c r="W123" s="205">
        <f>W39-W40-W41</f>
        <v>0</v>
      </c>
      <c r="X123" s="205">
        <f t="shared" ref="X123:BF123" si="18">X39-X40-X41</f>
        <v>0</v>
      </c>
      <c r="Y123" s="205">
        <f t="shared" si="18"/>
        <v>0</v>
      </c>
      <c r="Z123" s="205">
        <f t="shared" si="18"/>
        <v>0</v>
      </c>
      <c r="AA123" s="205">
        <f t="shared" si="18"/>
        <v>0</v>
      </c>
      <c r="AB123" s="205">
        <f t="shared" si="18"/>
        <v>0</v>
      </c>
      <c r="AC123" s="205">
        <f t="shared" si="18"/>
        <v>0</v>
      </c>
      <c r="AD123" s="205">
        <f t="shared" si="18"/>
        <v>0</v>
      </c>
      <c r="AE123" s="205">
        <f t="shared" si="18"/>
        <v>0</v>
      </c>
      <c r="AF123" s="205">
        <f t="shared" si="18"/>
        <v>0</v>
      </c>
      <c r="AG123" s="205">
        <f t="shared" si="18"/>
        <v>0</v>
      </c>
      <c r="AH123" s="205">
        <f t="shared" si="18"/>
        <v>0</v>
      </c>
      <c r="AI123" s="205">
        <f t="shared" si="18"/>
        <v>0</v>
      </c>
      <c r="AJ123" s="205"/>
      <c r="AK123" s="205"/>
      <c r="AL123" s="205"/>
      <c r="AM123" s="205"/>
      <c r="AN123" s="205"/>
      <c r="AO123" s="205"/>
      <c r="AP123" s="205">
        <f t="shared" si="18"/>
        <v>0</v>
      </c>
      <c r="AQ123" s="205">
        <f t="shared" si="18"/>
        <v>0</v>
      </c>
      <c r="AR123" s="205">
        <f t="shared" si="18"/>
        <v>0</v>
      </c>
      <c r="AS123" s="205">
        <f t="shared" si="18"/>
        <v>0</v>
      </c>
      <c r="AT123" s="205">
        <f t="shared" si="18"/>
        <v>0</v>
      </c>
      <c r="AU123" s="205">
        <f t="shared" si="18"/>
        <v>0</v>
      </c>
      <c r="AV123" s="205">
        <f t="shared" si="18"/>
        <v>0</v>
      </c>
      <c r="AW123" s="205">
        <f t="shared" si="18"/>
        <v>0</v>
      </c>
      <c r="AX123" s="205">
        <f t="shared" si="18"/>
        <v>0</v>
      </c>
      <c r="AY123" s="205">
        <f t="shared" si="18"/>
        <v>0</v>
      </c>
      <c r="AZ123" s="205">
        <f t="shared" si="18"/>
        <v>0</v>
      </c>
      <c r="BA123" s="205">
        <f t="shared" si="18"/>
        <v>0</v>
      </c>
      <c r="BB123" s="205">
        <f t="shared" si="18"/>
        <v>0</v>
      </c>
      <c r="BC123" s="205">
        <f t="shared" si="18"/>
        <v>0</v>
      </c>
      <c r="BD123" s="137">
        <f t="shared" si="18"/>
        <v>0</v>
      </c>
      <c r="BE123" s="137">
        <f t="shared" si="18"/>
        <v>0</v>
      </c>
      <c r="BF123" s="137">
        <f t="shared" si="18"/>
        <v>0</v>
      </c>
      <c r="BG123" s="205">
        <f>BG39-BG40-BG41</f>
        <v>0</v>
      </c>
      <c r="BH123" s="309">
        <f>BH39-BH40-BH41</f>
        <v>0</v>
      </c>
      <c r="BI123" s="205">
        <f t="shared" ref="BI123:BN123" si="19">BI39-BI40-BI41</f>
        <v>0</v>
      </c>
      <c r="BJ123" s="205">
        <f t="shared" si="19"/>
        <v>0</v>
      </c>
      <c r="BK123" s="205">
        <f t="shared" si="19"/>
        <v>0</v>
      </c>
      <c r="BL123" s="205">
        <f t="shared" si="19"/>
        <v>0</v>
      </c>
      <c r="BM123" s="205">
        <f t="shared" si="19"/>
        <v>0</v>
      </c>
      <c r="BN123" s="205">
        <f t="shared" si="19"/>
        <v>0</v>
      </c>
      <c r="BO123" s="205">
        <f>BO39-BO40-BO41</f>
        <v>0</v>
      </c>
      <c r="BP123" s="205">
        <f t="shared" ref="BP123:BT123" si="20">BP39-BP40-BP41</f>
        <v>0</v>
      </c>
      <c r="BQ123" s="205">
        <f t="shared" si="20"/>
        <v>0</v>
      </c>
      <c r="BR123" s="205">
        <f t="shared" si="20"/>
        <v>0</v>
      </c>
      <c r="BS123" s="205">
        <f t="shared" si="20"/>
        <v>0</v>
      </c>
      <c r="BT123" s="205">
        <f t="shared" si="20"/>
        <v>0</v>
      </c>
      <c r="BU123" s="205">
        <f t="shared" ref="BU123:BW123" si="21">BU39-BU40-BU41</f>
        <v>0</v>
      </c>
      <c r="BV123" s="205">
        <f t="shared" si="21"/>
        <v>0</v>
      </c>
      <c r="BW123" s="205">
        <f t="shared" si="21"/>
        <v>0</v>
      </c>
      <c r="CO123" s="156">
        <f t="shared" si="5"/>
        <v>0</v>
      </c>
      <c r="CP123" s="291" t="str">
        <f t="shared" si="6"/>
        <v/>
      </c>
    </row>
    <row r="124" spans="1:106" ht="31.5" customHeight="1">
      <c r="A124" s="138"/>
      <c r="B124" s="138"/>
      <c r="C124" s="203"/>
      <c r="D124" s="205">
        <f t="shared" ref="D124:Q124" si="22">D47-SUM(D48:D50)</f>
        <v>0</v>
      </c>
      <c r="E124" s="205">
        <f t="shared" si="22"/>
        <v>0</v>
      </c>
      <c r="F124" s="205">
        <f t="shared" si="22"/>
        <v>0</v>
      </c>
      <c r="G124" s="205">
        <f t="shared" si="22"/>
        <v>0</v>
      </c>
      <c r="H124" s="205">
        <f t="shared" si="22"/>
        <v>0</v>
      </c>
      <c r="I124" s="205">
        <f t="shared" si="22"/>
        <v>0</v>
      </c>
      <c r="J124" s="205">
        <f t="shared" si="22"/>
        <v>0</v>
      </c>
      <c r="K124" s="205">
        <f t="shared" si="22"/>
        <v>0</v>
      </c>
      <c r="L124" s="205">
        <f t="shared" si="22"/>
        <v>0</v>
      </c>
      <c r="M124" s="205">
        <f t="shared" si="22"/>
        <v>0</v>
      </c>
      <c r="N124" s="205">
        <f t="shared" si="22"/>
        <v>0</v>
      </c>
      <c r="O124" s="205">
        <f t="shared" si="22"/>
        <v>0</v>
      </c>
      <c r="P124" s="205">
        <f t="shared" si="22"/>
        <v>0</v>
      </c>
      <c r="Q124" s="205">
        <f t="shared" si="22"/>
        <v>0</v>
      </c>
      <c r="R124" s="205"/>
      <c r="S124" s="205"/>
      <c r="T124" s="205"/>
      <c r="U124" s="205"/>
      <c r="V124" s="205">
        <f>V47-SUM(V48:V50)</f>
        <v>0</v>
      </c>
      <c r="W124" s="205">
        <f>W47-SUM(W48:W50)</f>
        <v>0</v>
      </c>
      <c r="X124" s="205">
        <f t="shared" ref="X124:BF124" si="23">X47-SUM(X48:X50)</f>
        <v>0</v>
      </c>
      <c r="Y124" s="205">
        <f t="shared" si="23"/>
        <v>0</v>
      </c>
      <c r="Z124" s="205">
        <f t="shared" si="23"/>
        <v>0</v>
      </c>
      <c r="AA124" s="205">
        <f t="shared" si="23"/>
        <v>0</v>
      </c>
      <c r="AB124" s="205">
        <f t="shared" si="23"/>
        <v>0</v>
      </c>
      <c r="AC124" s="205">
        <f t="shared" si="23"/>
        <v>0</v>
      </c>
      <c r="AD124" s="205">
        <f t="shared" si="23"/>
        <v>0</v>
      </c>
      <c r="AE124" s="205">
        <f t="shared" si="23"/>
        <v>0</v>
      </c>
      <c r="AF124" s="205">
        <f t="shared" si="23"/>
        <v>0</v>
      </c>
      <c r="AG124" s="205">
        <f t="shared" si="23"/>
        <v>0</v>
      </c>
      <c r="AH124" s="205">
        <f t="shared" si="23"/>
        <v>0</v>
      </c>
      <c r="AI124" s="205">
        <f t="shared" si="23"/>
        <v>0</v>
      </c>
      <c r="AJ124" s="205"/>
      <c r="AK124" s="205"/>
      <c r="AL124" s="205"/>
      <c r="AM124" s="205"/>
      <c r="AN124" s="205"/>
      <c r="AO124" s="205"/>
      <c r="AP124" s="205">
        <f t="shared" si="23"/>
        <v>0</v>
      </c>
      <c r="AQ124" s="205">
        <f t="shared" si="23"/>
        <v>0</v>
      </c>
      <c r="AR124" s="205">
        <f t="shared" si="23"/>
        <v>0</v>
      </c>
      <c r="AS124" s="205">
        <f t="shared" si="23"/>
        <v>0</v>
      </c>
      <c r="AT124" s="205">
        <f t="shared" si="23"/>
        <v>0</v>
      </c>
      <c r="AU124" s="205">
        <f t="shared" si="23"/>
        <v>0</v>
      </c>
      <c r="AV124" s="205">
        <f t="shared" si="23"/>
        <v>0</v>
      </c>
      <c r="AW124" s="205">
        <f t="shared" si="23"/>
        <v>0</v>
      </c>
      <c r="AX124" s="205">
        <f t="shared" si="23"/>
        <v>0</v>
      </c>
      <c r="AY124" s="205">
        <f t="shared" si="23"/>
        <v>0</v>
      </c>
      <c r="AZ124" s="205">
        <f t="shared" si="23"/>
        <v>0</v>
      </c>
      <c r="BA124" s="205">
        <f t="shared" si="23"/>
        <v>0</v>
      </c>
      <c r="BB124" s="205">
        <f t="shared" si="23"/>
        <v>0</v>
      </c>
      <c r="BC124" s="205">
        <f t="shared" si="23"/>
        <v>0</v>
      </c>
      <c r="BD124" s="137">
        <f t="shared" si="23"/>
        <v>0</v>
      </c>
      <c r="BE124" s="137">
        <f t="shared" si="23"/>
        <v>0</v>
      </c>
      <c r="BF124" s="137">
        <f t="shared" si="23"/>
        <v>0</v>
      </c>
      <c r="BG124" s="205">
        <f>BG47-SUM(BG48:BG50)</f>
        <v>0</v>
      </c>
      <c r="BH124" s="309">
        <f>BH47-SUM(BH48:BH50)</f>
        <v>0</v>
      </c>
      <c r="BI124" s="205">
        <f t="shared" ref="BI124:BN124" si="24">BI47-SUM(BI48:BI50)</f>
        <v>0</v>
      </c>
      <c r="BJ124" s="205">
        <f t="shared" si="24"/>
        <v>0</v>
      </c>
      <c r="BK124" s="205">
        <f t="shared" si="24"/>
        <v>0</v>
      </c>
      <c r="BL124" s="205">
        <f t="shared" si="24"/>
        <v>0</v>
      </c>
      <c r="BM124" s="205">
        <f t="shared" si="24"/>
        <v>0</v>
      </c>
      <c r="BN124" s="205">
        <f t="shared" si="24"/>
        <v>0</v>
      </c>
      <c r="BO124" s="205">
        <f>BO47-SUM(BO48:BO50)</f>
        <v>0</v>
      </c>
      <c r="BP124" s="205">
        <f t="shared" ref="BP124:BT124" si="25">BP47-SUM(BP48:BP50)</f>
        <v>0</v>
      </c>
      <c r="BQ124" s="205">
        <f t="shared" si="25"/>
        <v>0</v>
      </c>
      <c r="BR124" s="205">
        <f t="shared" si="25"/>
        <v>0</v>
      </c>
      <c r="BS124" s="205">
        <f t="shared" si="25"/>
        <v>0</v>
      </c>
      <c r="BT124" s="205">
        <f t="shared" si="25"/>
        <v>0</v>
      </c>
      <c r="BU124" s="205">
        <f t="shared" ref="BU124:BW124" si="26">BU47-SUM(BU48:BU50)</f>
        <v>0</v>
      </c>
      <c r="BV124" s="205">
        <f t="shared" si="26"/>
        <v>0</v>
      </c>
      <c r="BW124" s="205">
        <f t="shared" si="26"/>
        <v>0</v>
      </c>
      <c r="CO124" s="156">
        <f t="shared" si="5"/>
        <v>0</v>
      </c>
      <c r="CP124" s="291" t="str">
        <f t="shared" si="6"/>
        <v/>
      </c>
    </row>
    <row r="125" spans="1:106" ht="31.5" customHeight="1">
      <c r="A125" s="138"/>
      <c r="B125" s="138"/>
      <c r="C125" s="203"/>
      <c r="D125" s="205">
        <f t="shared" ref="D125:Q125" si="27">D54-SUM(D55:D58)</f>
        <v>-1</v>
      </c>
      <c r="E125" s="205">
        <f t="shared" si="27"/>
        <v>0</v>
      </c>
      <c r="F125" s="205">
        <f t="shared" si="27"/>
        <v>0</v>
      </c>
      <c r="G125" s="205">
        <f t="shared" si="27"/>
        <v>0</v>
      </c>
      <c r="H125" s="205">
        <f t="shared" si="27"/>
        <v>0</v>
      </c>
      <c r="I125" s="205">
        <f t="shared" si="27"/>
        <v>0</v>
      </c>
      <c r="J125" s="205">
        <f t="shared" si="27"/>
        <v>0</v>
      </c>
      <c r="K125" s="205">
        <f t="shared" si="27"/>
        <v>0</v>
      </c>
      <c r="L125" s="205">
        <f t="shared" si="27"/>
        <v>0</v>
      </c>
      <c r="M125" s="205">
        <f t="shared" si="27"/>
        <v>-1</v>
      </c>
      <c r="N125" s="205">
        <f t="shared" si="27"/>
        <v>0</v>
      </c>
      <c r="O125" s="205">
        <f t="shared" si="27"/>
        <v>0</v>
      </c>
      <c r="P125" s="205">
        <f t="shared" si="27"/>
        <v>0</v>
      </c>
      <c r="Q125" s="205">
        <f t="shared" si="27"/>
        <v>0</v>
      </c>
      <c r="R125" s="205"/>
      <c r="S125" s="205"/>
      <c r="T125" s="205"/>
      <c r="U125" s="205"/>
      <c r="V125" s="205">
        <f t="shared" ref="V125:AI125" si="28">V54-SUM(V55:V58)</f>
        <v>0</v>
      </c>
      <c r="W125" s="205">
        <f t="shared" si="28"/>
        <v>0</v>
      </c>
      <c r="X125" s="205">
        <f t="shared" si="28"/>
        <v>0</v>
      </c>
      <c r="Y125" s="205">
        <f t="shared" si="28"/>
        <v>0</v>
      </c>
      <c r="Z125" s="205">
        <f t="shared" si="28"/>
        <v>0</v>
      </c>
      <c r="AA125" s="205">
        <f t="shared" si="28"/>
        <v>0</v>
      </c>
      <c r="AB125" s="205">
        <f t="shared" si="28"/>
        <v>0</v>
      </c>
      <c r="AC125" s="205">
        <f t="shared" si="28"/>
        <v>0</v>
      </c>
      <c r="AD125" s="205">
        <f t="shared" si="28"/>
        <v>0</v>
      </c>
      <c r="AE125" s="205">
        <f t="shared" si="28"/>
        <v>0</v>
      </c>
      <c r="AF125" s="205">
        <f t="shared" si="28"/>
        <v>0</v>
      </c>
      <c r="AG125" s="205">
        <f t="shared" si="28"/>
        <v>0</v>
      </c>
      <c r="AH125" s="205">
        <f t="shared" si="28"/>
        <v>0</v>
      </c>
      <c r="AI125" s="205">
        <f t="shared" si="28"/>
        <v>0</v>
      </c>
      <c r="AJ125" s="205"/>
      <c r="AK125" s="205"/>
      <c r="AL125" s="205"/>
      <c r="AM125" s="205"/>
      <c r="AN125" s="205"/>
      <c r="AO125" s="205"/>
      <c r="AP125" s="205">
        <f>AP54-SUM(AP55:AP60)</f>
        <v>0</v>
      </c>
      <c r="AQ125" s="205">
        <f>AQ54-SUM(AQ55:AQ60)</f>
        <v>0</v>
      </c>
      <c r="AR125" s="205">
        <f t="shared" ref="AR125:BB125" si="29">AR54-SUM(AR55:AR60)</f>
        <v>0</v>
      </c>
      <c r="AS125" s="205">
        <f t="shared" si="29"/>
        <v>0</v>
      </c>
      <c r="AT125" s="205">
        <f t="shared" si="29"/>
        <v>0</v>
      </c>
      <c r="AU125" s="205">
        <f t="shared" si="29"/>
        <v>0</v>
      </c>
      <c r="AV125" s="205">
        <f t="shared" si="29"/>
        <v>0</v>
      </c>
      <c r="AW125" s="205">
        <f t="shared" si="29"/>
        <v>0</v>
      </c>
      <c r="AX125" s="205">
        <f t="shared" si="29"/>
        <v>0</v>
      </c>
      <c r="AY125" s="205">
        <f t="shared" si="29"/>
        <v>0</v>
      </c>
      <c r="AZ125" s="205">
        <f t="shared" si="29"/>
        <v>0</v>
      </c>
      <c r="BA125" s="205">
        <f t="shared" si="29"/>
        <v>0</v>
      </c>
      <c r="BB125" s="205">
        <f t="shared" si="29"/>
        <v>0</v>
      </c>
      <c r="BC125" s="205">
        <f>BC54-SUM(BC55:BC58)</f>
        <v>0</v>
      </c>
      <c r="BD125" s="137">
        <f>BD54-SUM(BD55:BD59)</f>
        <v>0</v>
      </c>
      <c r="BE125" s="137">
        <f>BE54-SUM(BE55:BE59)</f>
        <v>0</v>
      </c>
      <c r="BF125" s="137">
        <f>BF54-SUM(BF55:BF59)</f>
        <v>201250000</v>
      </c>
      <c r="BG125" s="205">
        <f>BG54-SUM(BG55:BG60)</f>
        <v>0</v>
      </c>
      <c r="BH125" s="309">
        <f>BH54-SUM(BH55:BH60)</f>
        <v>0</v>
      </c>
      <c r="BI125" s="205">
        <f t="shared" ref="BI125:BT125" si="30">BI54-SUM(BI55:BI60)</f>
        <v>0</v>
      </c>
      <c r="BJ125" s="205">
        <f t="shared" si="30"/>
        <v>0</v>
      </c>
      <c r="BK125" s="205">
        <f>BK54-SUM(BK55:BK60)</f>
        <v>0</v>
      </c>
      <c r="BL125" s="205">
        <f t="shared" si="30"/>
        <v>0</v>
      </c>
      <c r="BM125" s="205">
        <f t="shared" si="30"/>
        <v>0</v>
      </c>
      <c r="BN125" s="205">
        <f t="shared" si="30"/>
        <v>0</v>
      </c>
      <c r="BO125" s="205">
        <f t="shared" si="30"/>
        <v>0</v>
      </c>
      <c r="BP125" s="205">
        <f t="shared" si="30"/>
        <v>0</v>
      </c>
      <c r="BQ125" s="205">
        <f t="shared" si="30"/>
        <v>0</v>
      </c>
      <c r="BR125" s="205">
        <f t="shared" si="30"/>
        <v>0</v>
      </c>
      <c r="BS125" s="205">
        <f t="shared" si="30"/>
        <v>0</v>
      </c>
      <c r="BT125" s="205">
        <f t="shared" si="30"/>
        <v>0</v>
      </c>
      <c r="BU125" s="205">
        <f t="shared" ref="BU125:BW125" si="31">BU54-SUM(BU55:BU60)</f>
        <v>0</v>
      </c>
      <c r="BV125" s="205">
        <f t="shared" si="31"/>
        <v>0</v>
      </c>
      <c r="BW125" s="205">
        <f t="shared" si="31"/>
        <v>0</v>
      </c>
      <c r="CO125" s="156">
        <f t="shared" si="5"/>
        <v>0</v>
      </c>
      <c r="CP125" s="291" t="str">
        <f t="shared" si="6"/>
        <v/>
      </c>
    </row>
    <row r="126" spans="1:106" ht="31.5" customHeight="1">
      <c r="A126" s="138"/>
      <c r="B126" s="138"/>
      <c r="C126" s="203"/>
      <c r="D126" s="137">
        <f t="shared" ref="D126:Q126" si="32">D61-SUM(D62:D64)</f>
        <v>0</v>
      </c>
      <c r="E126" s="137">
        <f t="shared" si="32"/>
        <v>0</v>
      </c>
      <c r="F126" s="137">
        <f t="shared" si="32"/>
        <v>0</v>
      </c>
      <c r="G126" s="137">
        <f t="shared" si="32"/>
        <v>0</v>
      </c>
      <c r="H126" s="137">
        <f t="shared" si="32"/>
        <v>0</v>
      </c>
      <c r="I126" s="137">
        <f t="shared" si="32"/>
        <v>0</v>
      </c>
      <c r="J126" s="137">
        <f t="shared" si="32"/>
        <v>0</v>
      </c>
      <c r="K126" s="137">
        <f t="shared" si="32"/>
        <v>0</v>
      </c>
      <c r="L126" s="137">
        <f t="shared" si="32"/>
        <v>0</v>
      </c>
      <c r="M126" s="137">
        <f t="shared" si="32"/>
        <v>0</v>
      </c>
      <c r="N126" s="137">
        <f t="shared" si="32"/>
        <v>0</v>
      </c>
      <c r="O126" s="137">
        <f t="shared" si="32"/>
        <v>0</v>
      </c>
      <c r="P126" s="137">
        <f t="shared" si="32"/>
        <v>0</v>
      </c>
      <c r="Q126" s="137">
        <f t="shared" si="32"/>
        <v>0</v>
      </c>
      <c r="V126" s="137">
        <f>V61-SUM(V62:V64)</f>
        <v>0</v>
      </c>
      <c r="W126" s="137">
        <f>W61-SUM(W62:W64)</f>
        <v>0</v>
      </c>
      <c r="X126" s="137">
        <f t="shared" ref="X126:BF126" si="33">X61-SUM(X62:X64)</f>
        <v>0</v>
      </c>
      <c r="Y126" s="137">
        <f t="shared" si="33"/>
        <v>0</v>
      </c>
      <c r="Z126" s="137">
        <f t="shared" si="33"/>
        <v>0</v>
      </c>
      <c r="AA126" s="137">
        <f t="shared" si="33"/>
        <v>0</v>
      </c>
      <c r="AB126" s="137">
        <f t="shared" si="33"/>
        <v>0</v>
      </c>
      <c r="AC126" s="137">
        <f t="shared" si="33"/>
        <v>0</v>
      </c>
      <c r="AD126" s="137">
        <f t="shared" si="33"/>
        <v>0</v>
      </c>
      <c r="AE126" s="137">
        <f t="shared" si="33"/>
        <v>0</v>
      </c>
      <c r="AF126" s="137">
        <f t="shared" si="33"/>
        <v>0</v>
      </c>
      <c r="AG126" s="137">
        <f t="shared" si="33"/>
        <v>0</v>
      </c>
      <c r="AH126" s="137">
        <f t="shared" si="33"/>
        <v>0</v>
      </c>
      <c r="AI126" s="137">
        <f t="shared" si="33"/>
        <v>0</v>
      </c>
      <c r="AP126" s="137">
        <f t="shared" si="33"/>
        <v>0</v>
      </c>
      <c r="AQ126" s="137">
        <f t="shared" si="33"/>
        <v>0</v>
      </c>
      <c r="AR126" s="137">
        <f t="shared" si="33"/>
        <v>0</v>
      </c>
      <c r="AS126" s="137">
        <f t="shared" si="33"/>
        <v>0</v>
      </c>
      <c r="AT126" s="137">
        <f t="shared" si="33"/>
        <v>0</v>
      </c>
      <c r="AU126" s="137">
        <f t="shared" si="33"/>
        <v>0</v>
      </c>
      <c r="AV126" s="137">
        <f t="shared" si="33"/>
        <v>0</v>
      </c>
      <c r="AW126" s="137">
        <f t="shared" si="33"/>
        <v>0</v>
      </c>
      <c r="AX126" s="137">
        <f t="shared" si="33"/>
        <v>0</v>
      </c>
      <c r="AY126" s="137">
        <f t="shared" si="33"/>
        <v>0</v>
      </c>
      <c r="AZ126" s="137">
        <f t="shared" si="33"/>
        <v>0</v>
      </c>
      <c r="BA126" s="137">
        <f t="shared" si="33"/>
        <v>0</v>
      </c>
      <c r="BB126" s="137">
        <f t="shared" si="33"/>
        <v>0</v>
      </c>
      <c r="BC126" s="137">
        <f t="shared" si="33"/>
        <v>0</v>
      </c>
      <c r="BD126" s="137">
        <f t="shared" si="33"/>
        <v>0</v>
      </c>
      <c r="BE126" s="137">
        <f t="shared" si="33"/>
        <v>0</v>
      </c>
      <c r="BF126" s="137">
        <f t="shared" si="33"/>
        <v>0</v>
      </c>
      <c r="BG126" s="137">
        <f>BG61-SUM(BG62:BG64)</f>
        <v>0</v>
      </c>
      <c r="BH126" s="310">
        <f>BH61-SUM(BH62:BH64)</f>
        <v>0</v>
      </c>
      <c r="BI126" s="137">
        <f t="shared" ref="BI126:BT126" si="34">BI61-SUM(BI62:BI64)</f>
        <v>0</v>
      </c>
      <c r="BJ126" s="137">
        <f t="shared" si="34"/>
        <v>0</v>
      </c>
      <c r="BK126" s="137">
        <f t="shared" si="34"/>
        <v>0</v>
      </c>
      <c r="BL126" s="137">
        <f t="shared" si="34"/>
        <v>0</v>
      </c>
      <c r="BM126" s="137">
        <f t="shared" si="34"/>
        <v>0</v>
      </c>
      <c r="BN126" s="137">
        <f t="shared" si="34"/>
        <v>0</v>
      </c>
      <c r="BO126" s="137">
        <f t="shared" si="34"/>
        <v>0</v>
      </c>
      <c r="BP126" s="137">
        <f t="shared" si="34"/>
        <v>0</v>
      </c>
      <c r="BQ126" s="137">
        <f t="shared" si="34"/>
        <v>0</v>
      </c>
      <c r="BR126" s="137">
        <f t="shared" si="34"/>
        <v>0</v>
      </c>
      <c r="BS126" s="137">
        <f t="shared" si="34"/>
        <v>0</v>
      </c>
      <c r="BT126" s="137">
        <f t="shared" si="34"/>
        <v>0</v>
      </c>
      <c r="BU126" s="137">
        <f t="shared" ref="BU126:BW126" si="35">BU61-SUM(BU62:BU64)</f>
        <v>0</v>
      </c>
      <c r="BV126" s="137">
        <f t="shared" si="35"/>
        <v>0</v>
      </c>
      <c r="BW126" s="137">
        <f t="shared" si="35"/>
        <v>0</v>
      </c>
      <c r="CO126" s="156">
        <f t="shared" si="5"/>
        <v>0</v>
      </c>
      <c r="CP126" s="291" t="str">
        <f t="shared" si="6"/>
        <v/>
      </c>
    </row>
    <row r="127" spans="1:106" ht="31.5" customHeight="1">
      <c r="A127" s="138"/>
      <c r="B127" s="138"/>
      <c r="C127" s="203"/>
      <c r="D127" s="137">
        <f t="shared" ref="D127:Q127" si="36">D67-SUM(D68:D71)</f>
        <v>0</v>
      </c>
      <c r="E127" s="137">
        <f t="shared" si="36"/>
        <v>0</v>
      </c>
      <c r="F127" s="137">
        <f t="shared" si="36"/>
        <v>0</v>
      </c>
      <c r="G127" s="137">
        <f t="shared" si="36"/>
        <v>0</v>
      </c>
      <c r="H127" s="137">
        <f t="shared" si="36"/>
        <v>0</v>
      </c>
      <c r="I127" s="137">
        <f t="shared" si="36"/>
        <v>0</v>
      </c>
      <c r="J127" s="137">
        <f t="shared" si="36"/>
        <v>0</v>
      </c>
      <c r="K127" s="137">
        <f t="shared" si="36"/>
        <v>0</v>
      </c>
      <c r="L127" s="137">
        <f t="shared" si="36"/>
        <v>0</v>
      </c>
      <c r="M127" s="137">
        <f t="shared" si="36"/>
        <v>0</v>
      </c>
      <c r="N127" s="137">
        <f t="shared" si="36"/>
        <v>0</v>
      </c>
      <c r="O127" s="137">
        <f t="shared" si="36"/>
        <v>0</v>
      </c>
      <c r="P127" s="137">
        <f t="shared" si="36"/>
        <v>0</v>
      </c>
      <c r="Q127" s="137">
        <f t="shared" si="36"/>
        <v>0</v>
      </c>
      <c r="V127" s="137">
        <f>V67-SUM(V68:V71)</f>
        <v>0</v>
      </c>
      <c r="W127" s="137">
        <f>W67-SUM(W68:W71)</f>
        <v>0</v>
      </c>
      <c r="X127" s="137">
        <f t="shared" ref="X127:BF127" si="37">X67-SUM(X68:X71)</f>
        <v>0</v>
      </c>
      <c r="Y127" s="137">
        <f t="shared" si="37"/>
        <v>0</v>
      </c>
      <c r="Z127" s="137">
        <f t="shared" si="37"/>
        <v>0</v>
      </c>
      <c r="AA127" s="137">
        <f t="shared" si="37"/>
        <v>0</v>
      </c>
      <c r="AB127" s="137">
        <f t="shared" si="37"/>
        <v>0</v>
      </c>
      <c r="AC127" s="137">
        <f t="shared" si="37"/>
        <v>0</v>
      </c>
      <c r="AD127" s="137">
        <f t="shared" si="37"/>
        <v>0</v>
      </c>
      <c r="AE127" s="137">
        <f t="shared" si="37"/>
        <v>0</v>
      </c>
      <c r="AF127" s="137">
        <f t="shared" si="37"/>
        <v>0</v>
      </c>
      <c r="AG127" s="137">
        <f t="shared" si="37"/>
        <v>0</v>
      </c>
      <c r="AH127" s="137">
        <f t="shared" si="37"/>
        <v>0</v>
      </c>
      <c r="AI127" s="137">
        <f t="shared" si="37"/>
        <v>0</v>
      </c>
      <c r="AP127" s="137">
        <f t="shared" si="37"/>
        <v>0</v>
      </c>
      <c r="AQ127" s="137">
        <f t="shared" si="37"/>
        <v>0</v>
      </c>
      <c r="AR127" s="137">
        <f t="shared" si="37"/>
        <v>0</v>
      </c>
      <c r="AS127" s="137">
        <f t="shared" si="37"/>
        <v>0</v>
      </c>
      <c r="AT127" s="137">
        <f t="shared" si="37"/>
        <v>0</v>
      </c>
      <c r="AU127" s="137">
        <f t="shared" si="37"/>
        <v>0</v>
      </c>
      <c r="AV127" s="137">
        <f t="shared" si="37"/>
        <v>0</v>
      </c>
      <c r="AW127" s="137">
        <f t="shared" si="37"/>
        <v>0</v>
      </c>
      <c r="AX127" s="137">
        <f t="shared" si="37"/>
        <v>0</v>
      </c>
      <c r="AY127" s="137">
        <f t="shared" si="37"/>
        <v>0</v>
      </c>
      <c r="AZ127" s="137">
        <f t="shared" si="37"/>
        <v>0</v>
      </c>
      <c r="BA127" s="137">
        <f t="shared" si="37"/>
        <v>0</v>
      </c>
      <c r="BB127" s="137">
        <f t="shared" si="37"/>
        <v>0</v>
      </c>
      <c r="BC127" s="137">
        <f t="shared" si="37"/>
        <v>0</v>
      </c>
      <c r="BD127" s="137">
        <f t="shared" si="37"/>
        <v>0</v>
      </c>
      <c r="BE127" s="137">
        <f t="shared" si="37"/>
        <v>0</v>
      </c>
      <c r="BF127" s="137">
        <f t="shared" si="37"/>
        <v>0</v>
      </c>
      <c r="BG127" s="137">
        <f>BG67-SUM(BG68:BG71)</f>
        <v>0</v>
      </c>
      <c r="BH127" s="310">
        <f>BH67-SUM(BH68:BH71)</f>
        <v>0</v>
      </c>
      <c r="BI127" s="137">
        <f t="shared" ref="BI127:BT127" si="38">BI67-SUM(BI68:BI71)</f>
        <v>0</v>
      </c>
      <c r="BJ127" s="137">
        <f t="shared" si="38"/>
        <v>0</v>
      </c>
      <c r="BK127" s="137">
        <f t="shared" si="38"/>
        <v>0</v>
      </c>
      <c r="BL127" s="137">
        <f t="shared" si="38"/>
        <v>0</v>
      </c>
      <c r="BM127" s="137">
        <f t="shared" si="38"/>
        <v>0</v>
      </c>
      <c r="BN127" s="137">
        <f t="shared" si="38"/>
        <v>0</v>
      </c>
      <c r="BO127" s="137">
        <f t="shared" si="38"/>
        <v>0</v>
      </c>
      <c r="BP127" s="137">
        <f t="shared" si="38"/>
        <v>0</v>
      </c>
      <c r="BQ127" s="137">
        <f t="shared" si="38"/>
        <v>0</v>
      </c>
      <c r="BR127" s="137">
        <f t="shared" si="38"/>
        <v>0</v>
      </c>
      <c r="BS127" s="137">
        <f t="shared" si="38"/>
        <v>0</v>
      </c>
      <c r="BT127" s="137">
        <f t="shared" si="38"/>
        <v>0</v>
      </c>
      <c r="BU127" s="137">
        <f t="shared" ref="BU127:BW127" si="39">BU67-SUM(BU68:BU71)</f>
        <v>0</v>
      </c>
      <c r="BV127" s="137">
        <f t="shared" si="39"/>
        <v>0</v>
      </c>
      <c r="BW127" s="137">
        <f t="shared" si="39"/>
        <v>0</v>
      </c>
      <c r="CO127" s="156">
        <f t="shared" si="5"/>
        <v>0</v>
      </c>
      <c r="CP127" s="291" t="str">
        <f t="shared" si="6"/>
        <v/>
      </c>
    </row>
    <row r="128" spans="1:106" ht="31.5" customHeight="1">
      <c r="A128" s="138"/>
      <c r="B128" s="138"/>
      <c r="C128" s="203"/>
      <c r="D128" s="137">
        <f t="shared" ref="D128:Q128" si="40">D72-SUM(D73:D81)</f>
        <v>-0.464630126953125</v>
      </c>
      <c r="E128" s="137">
        <f t="shared" si="40"/>
        <v>0</v>
      </c>
      <c r="F128" s="137">
        <f t="shared" si="40"/>
        <v>0</v>
      </c>
      <c r="G128" s="137">
        <f t="shared" si="40"/>
        <v>0</v>
      </c>
      <c r="H128" s="137">
        <f t="shared" si="40"/>
        <v>0</v>
      </c>
      <c r="I128" s="137">
        <f t="shared" si="40"/>
        <v>0</v>
      </c>
      <c r="J128" s="137">
        <f t="shared" si="40"/>
        <v>0</v>
      </c>
      <c r="K128" s="137">
        <f t="shared" si="40"/>
        <v>0</v>
      </c>
      <c r="L128" s="137">
        <f t="shared" si="40"/>
        <v>0</v>
      </c>
      <c r="M128" s="137">
        <f t="shared" si="40"/>
        <v>0</v>
      </c>
      <c r="N128" s="137">
        <f t="shared" si="40"/>
        <v>0</v>
      </c>
      <c r="O128" s="137">
        <f t="shared" si="40"/>
        <v>0</v>
      </c>
      <c r="P128" s="137">
        <f t="shared" si="40"/>
        <v>0</v>
      </c>
      <c r="Q128" s="137">
        <f t="shared" si="40"/>
        <v>-0.464630126953125</v>
      </c>
      <c r="V128" s="137">
        <f>V72-SUM(V73:V81)</f>
        <v>0</v>
      </c>
      <c r="W128" s="137">
        <f>W72-SUM(W73:W81)</f>
        <v>0</v>
      </c>
      <c r="X128" s="137">
        <f t="shared" ref="X128:BF128" si="41">X72-SUM(X73:X81)</f>
        <v>0</v>
      </c>
      <c r="Y128" s="137">
        <f t="shared" si="41"/>
        <v>0</v>
      </c>
      <c r="Z128" s="137">
        <f t="shared" si="41"/>
        <v>0</v>
      </c>
      <c r="AA128" s="137">
        <f t="shared" si="41"/>
        <v>0</v>
      </c>
      <c r="AB128" s="137">
        <f t="shared" si="41"/>
        <v>0</v>
      </c>
      <c r="AC128" s="137">
        <f t="shared" si="41"/>
        <v>0</v>
      </c>
      <c r="AD128" s="137">
        <f t="shared" si="41"/>
        <v>0</v>
      </c>
      <c r="AE128" s="137">
        <f t="shared" si="41"/>
        <v>0</v>
      </c>
      <c r="AF128" s="137">
        <f t="shared" si="41"/>
        <v>0</v>
      </c>
      <c r="AG128" s="137">
        <f t="shared" si="41"/>
        <v>0</v>
      </c>
      <c r="AH128" s="137">
        <f t="shared" si="41"/>
        <v>0</v>
      </c>
      <c r="AI128" s="137">
        <f t="shared" si="41"/>
        <v>0</v>
      </c>
      <c r="AP128" s="137">
        <f>AP72-SUM(AP73:AP81)</f>
        <v>22423712</v>
      </c>
      <c r="AQ128" s="137">
        <f t="shared" si="41"/>
        <v>0</v>
      </c>
      <c r="AR128" s="137">
        <f t="shared" si="41"/>
        <v>0</v>
      </c>
      <c r="AS128" s="137">
        <f>AS72-SUM(AS73:AS81)</f>
        <v>0</v>
      </c>
      <c r="AT128" s="137">
        <f t="shared" si="41"/>
        <v>0</v>
      </c>
      <c r="AU128" s="137">
        <f t="shared" si="41"/>
        <v>0</v>
      </c>
      <c r="AV128" s="137">
        <f t="shared" si="41"/>
        <v>0</v>
      </c>
      <c r="AW128" s="137">
        <f t="shared" si="41"/>
        <v>0</v>
      </c>
      <c r="AX128" s="137">
        <f t="shared" si="41"/>
        <v>0</v>
      </c>
      <c r="AY128" s="137">
        <f t="shared" si="41"/>
        <v>0</v>
      </c>
      <c r="AZ128" s="137">
        <f t="shared" si="41"/>
        <v>0</v>
      </c>
      <c r="BA128" s="137">
        <f t="shared" si="41"/>
        <v>0</v>
      </c>
      <c r="BB128" s="137">
        <f t="shared" si="41"/>
        <v>0</v>
      </c>
      <c r="BC128" s="137">
        <f t="shared" si="41"/>
        <v>0</v>
      </c>
      <c r="BD128" s="137">
        <f t="shared" si="41"/>
        <v>0</v>
      </c>
      <c r="BE128" s="137">
        <f t="shared" si="41"/>
        <v>0</v>
      </c>
      <c r="BF128" s="137">
        <f t="shared" si="41"/>
        <v>22423712</v>
      </c>
      <c r="BG128" s="137">
        <f>BG72-SUM(BG73:BG81)</f>
        <v>0</v>
      </c>
      <c r="BH128" s="310">
        <f>BH72-SUM(BH73:BH81)</f>
        <v>0</v>
      </c>
      <c r="BI128" s="137">
        <f t="shared" ref="BI128:BT128" si="42">BI72-SUM(BI73:BI81)</f>
        <v>0</v>
      </c>
      <c r="BJ128" s="137">
        <f t="shared" si="42"/>
        <v>0</v>
      </c>
      <c r="BK128" s="137">
        <f t="shared" si="42"/>
        <v>0</v>
      </c>
      <c r="BL128" s="137">
        <f t="shared" si="42"/>
        <v>0</v>
      </c>
      <c r="BM128" s="137">
        <f t="shared" si="42"/>
        <v>0</v>
      </c>
      <c r="BN128" s="137">
        <f t="shared" si="42"/>
        <v>0</v>
      </c>
      <c r="BO128" s="137">
        <f t="shared" si="42"/>
        <v>0</v>
      </c>
      <c r="BP128" s="137">
        <f t="shared" si="42"/>
        <v>0</v>
      </c>
      <c r="BQ128" s="137">
        <f t="shared" si="42"/>
        <v>0</v>
      </c>
      <c r="BR128" s="137">
        <f t="shared" si="42"/>
        <v>0</v>
      </c>
      <c r="BS128" s="137">
        <f t="shared" si="42"/>
        <v>0</v>
      </c>
      <c r="BT128" s="137">
        <f t="shared" si="42"/>
        <v>0</v>
      </c>
      <c r="BU128" s="137">
        <f t="shared" ref="BU128:BW128" si="43">BU72-SUM(BU73:BU81)</f>
        <v>0</v>
      </c>
      <c r="BV128" s="137">
        <f t="shared" si="43"/>
        <v>0</v>
      </c>
      <c r="BW128" s="137">
        <f t="shared" si="43"/>
        <v>0</v>
      </c>
      <c r="CO128" s="156">
        <f t="shared" si="5"/>
        <v>-22423712</v>
      </c>
      <c r="CP128" s="291">
        <f t="shared" si="6"/>
        <v>-1</v>
      </c>
    </row>
    <row r="129" spans="1:75" ht="31.5" customHeight="1">
      <c r="A129" s="138"/>
      <c r="B129" s="138"/>
      <c r="C129" s="203"/>
      <c r="D129" s="137">
        <f t="shared" ref="D129:Q129" si="44">D84-SUM(D85:D110)</f>
        <v>0</v>
      </c>
      <c r="E129" s="137">
        <f>E84-SUM(E85:E110)</f>
        <v>0</v>
      </c>
      <c r="F129" s="137">
        <f t="shared" si="44"/>
        <v>0</v>
      </c>
      <c r="G129" s="137">
        <f t="shared" si="44"/>
        <v>0</v>
      </c>
      <c r="H129" s="137">
        <f t="shared" si="44"/>
        <v>0</v>
      </c>
      <c r="I129" s="137">
        <f t="shared" si="44"/>
        <v>0</v>
      </c>
      <c r="J129" s="137">
        <f t="shared" si="44"/>
        <v>0</v>
      </c>
      <c r="K129" s="137">
        <f t="shared" si="44"/>
        <v>0</v>
      </c>
      <c r="L129" s="137">
        <f t="shared" si="44"/>
        <v>0</v>
      </c>
      <c r="M129" s="137">
        <f t="shared" si="44"/>
        <v>0</v>
      </c>
      <c r="N129" s="137">
        <f t="shared" si="44"/>
        <v>0</v>
      </c>
      <c r="O129" s="137">
        <f t="shared" si="44"/>
        <v>0</v>
      </c>
      <c r="P129" s="137">
        <f t="shared" si="44"/>
        <v>0</v>
      </c>
      <c r="Q129" s="137">
        <f t="shared" si="44"/>
        <v>0</v>
      </c>
      <c r="V129" s="137">
        <f>V84-SUM(V85:V110)</f>
        <v>0</v>
      </c>
      <c r="W129" s="137">
        <f>W84-SUM(W85:W110)</f>
        <v>0</v>
      </c>
      <c r="X129" s="137">
        <f t="shared" ref="X129:BF129" si="45">X84-SUM(X85:X110)</f>
        <v>0</v>
      </c>
      <c r="Y129" s="137">
        <f t="shared" si="45"/>
        <v>0</v>
      </c>
      <c r="Z129" s="137">
        <f t="shared" si="45"/>
        <v>0</v>
      </c>
      <c r="AA129" s="137">
        <f t="shared" si="45"/>
        <v>0</v>
      </c>
      <c r="AB129" s="137">
        <f t="shared" si="45"/>
        <v>0</v>
      </c>
      <c r="AC129" s="137">
        <f t="shared" si="45"/>
        <v>0</v>
      </c>
      <c r="AD129" s="137">
        <f t="shared" si="45"/>
        <v>0</v>
      </c>
      <c r="AE129" s="137">
        <f t="shared" si="45"/>
        <v>0</v>
      </c>
      <c r="AF129" s="137">
        <f t="shared" si="45"/>
        <v>0</v>
      </c>
      <c r="AG129" s="137">
        <f t="shared" si="45"/>
        <v>0</v>
      </c>
      <c r="AH129" s="137">
        <f t="shared" si="45"/>
        <v>0</v>
      </c>
      <c r="AI129" s="137">
        <f t="shared" si="45"/>
        <v>0</v>
      </c>
      <c r="AP129" s="137">
        <f t="shared" si="45"/>
        <v>0</v>
      </c>
      <c r="AQ129" s="137">
        <f t="shared" si="45"/>
        <v>0</v>
      </c>
      <c r="AR129" s="137">
        <f t="shared" si="45"/>
        <v>0</v>
      </c>
      <c r="AS129" s="137">
        <f t="shared" si="45"/>
        <v>0</v>
      </c>
      <c r="AT129" s="137">
        <f t="shared" si="45"/>
        <v>0</v>
      </c>
      <c r="AU129" s="137">
        <f t="shared" si="45"/>
        <v>0</v>
      </c>
      <c r="AV129" s="137">
        <f t="shared" si="45"/>
        <v>0</v>
      </c>
      <c r="AW129" s="137">
        <f t="shared" si="45"/>
        <v>0</v>
      </c>
      <c r="AX129" s="137">
        <f t="shared" si="45"/>
        <v>0</v>
      </c>
      <c r="AY129" s="137">
        <f t="shared" si="45"/>
        <v>0</v>
      </c>
      <c r="AZ129" s="137">
        <f t="shared" si="45"/>
        <v>0</v>
      </c>
      <c r="BA129" s="137">
        <f t="shared" si="45"/>
        <v>0</v>
      </c>
      <c r="BB129" s="137">
        <f t="shared" si="45"/>
        <v>0</v>
      </c>
      <c r="BC129" s="137">
        <f t="shared" si="45"/>
        <v>0</v>
      </c>
      <c r="BD129" s="137">
        <f t="shared" si="45"/>
        <v>0</v>
      </c>
      <c r="BE129" s="137">
        <f t="shared" si="45"/>
        <v>0</v>
      </c>
      <c r="BF129" s="137">
        <f t="shared" si="45"/>
        <v>0</v>
      </c>
      <c r="BG129" s="137">
        <f>BG84-SUM(BG85:BG110)</f>
        <v>0</v>
      </c>
      <c r="BH129" s="310">
        <f>BH84-SUM(BH85:BH110)</f>
        <v>0</v>
      </c>
      <c r="BI129" s="137">
        <f t="shared" ref="BI129:BT129" si="46">BI84-SUM(BI85:BI110)</f>
        <v>0</v>
      </c>
      <c r="BJ129" s="137">
        <f t="shared" si="46"/>
        <v>0</v>
      </c>
      <c r="BK129" s="137">
        <f t="shared" si="46"/>
        <v>0</v>
      </c>
      <c r="BL129" s="137">
        <f t="shared" si="46"/>
        <v>0</v>
      </c>
      <c r="BM129" s="137">
        <f t="shared" si="46"/>
        <v>0</v>
      </c>
      <c r="BN129" s="137">
        <f t="shared" si="46"/>
        <v>0</v>
      </c>
      <c r="BO129" s="137">
        <f t="shared" si="46"/>
        <v>0</v>
      </c>
      <c r="BP129" s="137">
        <f t="shared" si="46"/>
        <v>0</v>
      </c>
      <c r="BQ129" s="311">
        <f t="shared" si="46"/>
        <v>0</v>
      </c>
      <c r="BR129" s="311">
        <f t="shared" si="46"/>
        <v>0</v>
      </c>
      <c r="BS129" s="311">
        <f t="shared" si="46"/>
        <v>0</v>
      </c>
      <c r="BT129" s="311">
        <f t="shared" si="46"/>
        <v>0</v>
      </c>
      <c r="BU129" s="311">
        <f>BU84-SUM(BU85:BU110)</f>
        <v>0</v>
      </c>
      <c r="BV129" s="311">
        <f t="shared" ref="BV129:BW129" si="47">BV84-SUM(BV85:BV110)</f>
        <v>0</v>
      </c>
      <c r="BW129" s="311">
        <f t="shared" si="47"/>
        <v>0</v>
      </c>
    </row>
    <row r="130" spans="1:75" ht="31.5" customHeight="1">
      <c r="A130" s="138"/>
      <c r="B130" s="138"/>
      <c r="C130" s="203"/>
      <c r="D130" s="207"/>
      <c r="BH130" s="310"/>
      <c r="BQ130" s="311"/>
      <c r="BR130" s="311"/>
      <c r="BS130" s="311"/>
      <c r="BT130" s="311"/>
      <c r="BU130" s="311"/>
      <c r="BV130" s="311"/>
      <c r="BW130" s="311"/>
    </row>
    <row r="131" spans="1:75" ht="31.5" customHeight="1">
      <c r="A131" s="138"/>
      <c r="B131" s="138"/>
      <c r="C131" s="203"/>
      <c r="D131" s="207"/>
      <c r="BH131" s="310"/>
      <c r="BI131" s="137">
        <f t="shared" ref="BI131:BT131" si="48">BI8-BI23-BI28</f>
        <v>0</v>
      </c>
      <c r="BJ131" s="137">
        <f t="shared" si="48"/>
        <v>0</v>
      </c>
      <c r="BK131" s="137">
        <f t="shared" si="48"/>
        <v>0</v>
      </c>
      <c r="BL131" s="137">
        <f t="shared" si="48"/>
        <v>0</v>
      </c>
      <c r="BM131" s="137">
        <f t="shared" si="48"/>
        <v>0</v>
      </c>
      <c r="BN131" s="137">
        <f t="shared" si="48"/>
        <v>0</v>
      </c>
      <c r="BO131" s="137">
        <f t="shared" si="48"/>
        <v>0</v>
      </c>
      <c r="BP131" s="137">
        <f t="shared" si="48"/>
        <v>0</v>
      </c>
      <c r="BQ131" s="311">
        <f t="shared" si="48"/>
        <v>0</v>
      </c>
      <c r="BR131" s="311">
        <f t="shared" si="48"/>
        <v>0</v>
      </c>
      <c r="BS131" s="311">
        <f t="shared" si="48"/>
        <v>0</v>
      </c>
      <c r="BT131" s="311">
        <f t="shared" si="48"/>
        <v>0</v>
      </c>
      <c r="BU131" s="311">
        <f t="shared" ref="BU131:BW131" si="49">BU8-BU23-BU28</f>
        <v>0</v>
      </c>
      <c r="BV131" s="311">
        <f t="shared" si="49"/>
        <v>0</v>
      </c>
      <c r="BW131" s="311">
        <f t="shared" si="49"/>
        <v>0</v>
      </c>
    </row>
    <row r="132" spans="1:75" ht="31.5" customHeight="1">
      <c r="A132" s="138"/>
      <c r="B132" s="138"/>
      <c r="C132" s="203"/>
      <c r="D132" s="207"/>
      <c r="BH132" s="310"/>
      <c r="BI132" s="137">
        <f t="shared" ref="BI132:BT132" si="50">BI28-BI29+BI52-BI66-BI83-BI84-BI118+BI112-BI113</f>
        <v>0</v>
      </c>
      <c r="BJ132" s="137">
        <f t="shared" si="50"/>
        <v>0</v>
      </c>
      <c r="BK132" s="137">
        <f t="shared" si="50"/>
        <v>0</v>
      </c>
      <c r="BL132" s="137">
        <f t="shared" si="50"/>
        <v>0</v>
      </c>
      <c r="BM132" s="137">
        <f t="shared" si="50"/>
        <v>0</v>
      </c>
      <c r="BN132" s="137">
        <f t="shared" si="50"/>
        <v>0</v>
      </c>
      <c r="BO132" s="137">
        <f t="shared" si="50"/>
        <v>0</v>
      </c>
      <c r="BP132" s="137">
        <f t="shared" si="50"/>
        <v>0</v>
      </c>
      <c r="BQ132" s="311">
        <f t="shared" si="50"/>
        <v>0</v>
      </c>
      <c r="BR132" s="311">
        <f t="shared" si="50"/>
        <v>0</v>
      </c>
      <c r="BS132" s="311">
        <f t="shared" si="50"/>
        <v>0</v>
      </c>
      <c r="BT132" s="311">
        <f t="shared" si="50"/>
        <v>0</v>
      </c>
      <c r="BU132" s="311">
        <f t="shared" ref="BU132:BW132" si="51">BU28-BU29+BU52-BU66-BU83-BU84-BU118+BU112-BU113</f>
        <v>0</v>
      </c>
      <c r="BV132" s="311">
        <f t="shared" si="51"/>
        <v>0</v>
      </c>
      <c r="BW132" s="311">
        <f t="shared" si="51"/>
        <v>0</v>
      </c>
    </row>
    <row r="133" spans="1:75" ht="31.5" customHeight="1">
      <c r="A133" s="138"/>
      <c r="B133" s="138"/>
      <c r="C133" s="203"/>
      <c r="D133" s="207"/>
      <c r="BH133" s="310"/>
      <c r="BI133" s="137">
        <f>BI33-BI34-BI35</f>
        <v>0</v>
      </c>
      <c r="BJ133" s="137">
        <f t="shared" ref="BJ133:BT133" si="52">BJ33-BJ34-BJ35</f>
        <v>0</v>
      </c>
      <c r="BK133" s="137">
        <f t="shared" si="52"/>
        <v>0</v>
      </c>
      <c r="BL133" s="137">
        <f t="shared" si="52"/>
        <v>0</v>
      </c>
      <c r="BM133" s="137">
        <f t="shared" si="52"/>
        <v>0</v>
      </c>
      <c r="BN133" s="137">
        <f t="shared" si="52"/>
        <v>0</v>
      </c>
      <c r="BO133" s="137">
        <f t="shared" si="52"/>
        <v>0</v>
      </c>
      <c r="BP133" s="137">
        <f t="shared" si="52"/>
        <v>0</v>
      </c>
      <c r="BQ133" s="311">
        <f t="shared" si="52"/>
        <v>0</v>
      </c>
      <c r="BR133" s="311">
        <f t="shared" si="52"/>
        <v>0</v>
      </c>
      <c r="BS133" s="311">
        <f t="shared" si="52"/>
        <v>0</v>
      </c>
      <c r="BT133" s="311">
        <f t="shared" si="52"/>
        <v>0</v>
      </c>
      <c r="BU133" s="311">
        <f t="shared" ref="BU133:BW133" si="53">BU33-BU34-BU35</f>
        <v>0</v>
      </c>
      <c r="BV133" s="311">
        <f t="shared" si="53"/>
        <v>0</v>
      </c>
      <c r="BW133" s="311">
        <f t="shared" si="53"/>
        <v>0</v>
      </c>
    </row>
    <row r="134" spans="1:75" ht="31.5" customHeight="1">
      <c r="A134" s="138"/>
      <c r="B134" s="138"/>
      <c r="C134" s="203"/>
      <c r="D134" s="207"/>
      <c r="BH134" s="310"/>
      <c r="BQ134" s="311"/>
      <c r="BR134" s="311"/>
      <c r="BS134" s="311"/>
      <c r="BT134" s="311"/>
    </row>
    <row r="135" spans="1:75" ht="31.5" customHeight="1">
      <c r="A135" s="138"/>
      <c r="B135" s="138"/>
      <c r="C135" s="203"/>
      <c r="D135" s="207"/>
      <c r="BH135" s="310"/>
      <c r="BQ135" s="311"/>
      <c r="BR135" s="311"/>
      <c r="BS135" s="311"/>
      <c r="BT135" s="311"/>
    </row>
    <row r="136" spans="1:75" ht="31.5" customHeight="1">
      <c r="A136" s="138"/>
      <c r="B136" s="138"/>
      <c r="C136" s="203"/>
      <c r="D136" s="207"/>
    </row>
    <row r="137" spans="1:75" ht="31.5" customHeight="1">
      <c r="A137" s="138"/>
      <c r="B137" s="138"/>
      <c r="C137" s="203"/>
      <c r="D137" s="207" t="s">
        <v>235</v>
      </c>
    </row>
    <row r="138" spans="1:75" ht="31.5" customHeight="1">
      <c r="A138" s="138"/>
      <c r="B138" s="138"/>
      <c r="C138" s="203"/>
      <c r="D138" s="207" t="s">
        <v>235</v>
      </c>
    </row>
  </sheetData>
  <autoFilter ref="A7:A118" xr:uid="{00000000-0009-0000-0000-000000000000}"/>
  <dataConsolidate/>
  <mergeCells count="7">
    <mergeCell ref="BX6:CN6"/>
    <mergeCell ref="BG6:BW6"/>
    <mergeCell ref="C6:C7"/>
    <mergeCell ref="D6:U6"/>
    <mergeCell ref="V6:AN6"/>
    <mergeCell ref="AO6:AO7"/>
    <mergeCell ref="AP6:BF6"/>
  </mergeCells>
  <printOptions horizontalCentered="1"/>
  <pageMargins left="0" right="0" top="0.25" bottom="0" header="0.2" footer="0.3"/>
  <pageSetup paperSize="9" scale="10" orientation="landscape" r:id="rId1"/>
  <headerFooter>
    <oddFooter>&amp;C&amp;P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Y119"/>
  <sheetViews>
    <sheetView tabSelected="1" zoomScale="70" zoomScaleNormal="70" workbookViewId="0">
      <pane xSplit="5" ySplit="2" topLeftCell="F45" activePane="bottomRight" state="frozen"/>
      <selection pane="topRight" activeCell="F1" sqref="F1"/>
      <selection pane="bottomLeft" activeCell="A3" sqref="A3"/>
      <selection pane="bottomRight" activeCell="F47" sqref="F47"/>
    </sheetView>
  </sheetViews>
  <sheetFormatPr defaultColWidth="8.81640625" defaultRowHeight="19.5" customHeight="1" outlineLevelRow="2" outlineLevelCol="3"/>
  <cols>
    <col min="1" max="1" width="6.1796875" style="8" customWidth="1"/>
    <col min="2" max="2" width="30.1796875" style="128" customWidth="1"/>
    <col min="3" max="3" width="50.81640625" style="129" hidden="1" customWidth="1"/>
    <col min="4" max="4" width="50.54296875" style="130" hidden="1" customWidth="1"/>
    <col min="5" max="5" width="52.1796875" style="130" bestFit="1" customWidth="1"/>
    <col min="6" max="6" width="24.81640625" style="24" customWidth="1"/>
    <col min="7" max="7" width="15.54296875" style="132" hidden="1" customWidth="1" outlineLevel="1"/>
    <col min="8" max="8" width="15.54296875" style="7" hidden="1" customWidth="1" outlineLevel="1"/>
    <col min="9" max="9" width="15.54296875" style="7" hidden="1" customWidth="1" outlineLevel="2"/>
    <col min="10" max="10" width="18.1796875" style="7" hidden="1" customWidth="1" outlineLevel="2"/>
    <col min="11" max="15" width="14.453125" style="7" hidden="1" customWidth="1" outlineLevel="2"/>
    <col min="16" max="17" width="15.54296875" style="7" hidden="1" customWidth="1" outlineLevel="2"/>
    <col min="18" max="18" width="23" style="7" hidden="1" customWidth="1" outlineLevel="2"/>
    <col min="19" max="19" width="16" style="7" hidden="1" customWidth="1" outlineLevel="1"/>
    <col min="20" max="20" width="22" style="24" customWidth="1" collapsed="1"/>
    <col min="21" max="32" width="15.54296875" style="7" hidden="1" customWidth="1" outlineLevel="1"/>
    <col min="33" max="33" width="27.1796875" style="49" customWidth="1" collapsed="1"/>
    <col min="34" max="34" width="27.1796875" style="131" customWidth="1"/>
    <col min="35" max="46" width="27.1796875" style="7" hidden="1" customWidth="1" outlineLevel="1"/>
    <col min="47" max="47" width="11.81640625" style="133" customWidth="1" collapsed="1"/>
    <col min="48" max="48" width="27.1796875" style="24" customWidth="1"/>
    <col min="49" max="49" width="14.453125" style="132" bestFit="1" customWidth="1" outlineLevel="1"/>
    <col min="50" max="50" width="12.453125" style="7" bestFit="1" customWidth="1" outlineLevel="1"/>
    <col min="51" max="60" width="12.453125" style="7" bestFit="1" customWidth="1" outlineLevel="2"/>
    <col min="61" max="61" width="16" style="7" hidden="1" customWidth="1" outlineLevel="1"/>
    <col min="62" max="62" width="15.26953125" style="24" bestFit="1" customWidth="1"/>
    <col min="63" max="74" width="14.26953125" style="7" bestFit="1" customWidth="1" outlineLevel="1"/>
    <col min="75" max="75" width="15.54296875" style="49" hidden="1" customWidth="1"/>
    <col min="76" max="76" width="11.54296875" style="7" bestFit="1" customWidth="1" outlineLevel="3"/>
    <col min="77" max="88" width="12.54296875" style="7" customWidth="1" outlineLevel="3"/>
    <col min="89" max="89" width="8.81640625" style="7" customWidth="1" outlineLevel="3"/>
    <col min="90" max="90" width="12" style="7" customWidth="1" outlineLevel="3"/>
    <col min="91" max="102" width="12.81640625" style="7" customWidth="1" outlineLevel="3"/>
    <col min="103" max="103" width="8.81640625" style="7" customWidth="1" outlineLevel="3"/>
    <col min="104" max="16384" width="8.81640625" style="7"/>
  </cols>
  <sheetData>
    <row r="1" spans="1:103" ht="19.5" customHeight="1">
      <c r="A1" s="1"/>
      <c r="B1" s="2"/>
      <c r="C1" s="3"/>
      <c r="D1" s="4"/>
      <c r="E1" s="4"/>
      <c r="F1" s="351" t="s">
        <v>0</v>
      </c>
      <c r="G1" s="352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4"/>
      <c r="T1" s="355" t="s">
        <v>1</v>
      </c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5"/>
      <c r="AH1" s="356" t="s">
        <v>2</v>
      </c>
      <c r="AI1" s="356"/>
      <c r="AJ1" s="356"/>
      <c r="AK1" s="356"/>
      <c r="AL1" s="356"/>
      <c r="AM1" s="356"/>
      <c r="AN1" s="356"/>
      <c r="AO1" s="356"/>
      <c r="AP1" s="356"/>
      <c r="AQ1" s="356"/>
      <c r="AR1" s="356"/>
      <c r="AS1" s="356"/>
      <c r="AT1" s="356"/>
      <c r="AU1" s="6"/>
      <c r="AV1" s="357" t="s">
        <v>417</v>
      </c>
      <c r="AW1" s="358"/>
      <c r="AX1" s="359"/>
      <c r="AY1" s="359"/>
      <c r="AZ1" s="359"/>
      <c r="BA1" s="359"/>
      <c r="BB1" s="359"/>
      <c r="BC1" s="359"/>
      <c r="BD1" s="359"/>
      <c r="BE1" s="359"/>
      <c r="BF1" s="359"/>
      <c r="BG1" s="359"/>
      <c r="BH1" s="359"/>
      <c r="BI1" s="360"/>
      <c r="BJ1" s="345" t="s">
        <v>445</v>
      </c>
      <c r="BK1" s="345"/>
      <c r="BL1" s="345"/>
      <c r="BM1" s="345"/>
      <c r="BN1" s="345"/>
      <c r="BO1" s="345"/>
      <c r="BP1" s="345"/>
      <c r="BQ1" s="345"/>
      <c r="BR1" s="345"/>
      <c r="BS1" s="345"/>
      <c r="BT1" s="345"/>
      <c r="BU1" s="345"/>
      <c r="BV1" s="345"/>
      <c r="BW1" s="235"/>
      <c r="BX1" s="346" t="s">
        <v>444</v>
      </c>
      <c r="BY1" s="347"/>
      <c r="BZ1" s="348"/>
      <c r="CA1" s="348"/>
      <c r="CB1" s="348"/>
      <c r="CC1" s="348"/>
      <c r="CD1" s="348"/>
      <c r="CE1" s="348"/>
      <c r="CF1" s="348"/>
      <c r="CG1" s="348"/>
      <c r="CH1" s="348"/>
      <c r="CI1" s="348"/>
      <c r="CJ1" s="348"/>
      <c r="CK1" s="349"/>
      <c r="CL1" s="350" t="s">
        <v>443</v>
      </c>
      <c r="CM1" s="350"/>
      <c r="CN1" s="350"/>
      <c r="CO1" s="350"/>
      <c r="CP1" s="350"/>
      <c r="CQ1" s="350"/>
      <c r="CR1" s="350"/>
      <c r="CS1" s="350"/>
      <c r="CT1" s="350"/>
      <c r="CU1" s="350"/>
      <c r="CV1" s="350"/>
      <c r="CW1" s="350"/>
      <c r="CX1" s="350"/>
      <c r="CY1" s="238"/>
    </row>
    <row r="2" spans="1:103" ht="30.75" customHeight="1">
      <c r="B2" s="9"/>
      <c r="C2" s="6"/>
      <c r="D2" s="10"/>
      <c r="E2" s="211" t="s">
        <v>306</v>
      </c>
      <c r="F2" s="12" t="s">
        <v>3</v>
      </c>
      <c r="G2" s="13" t="s">
        <v>260</v>
      </c>
      <c r="H2" s="13" t="s">
        <v>261</v>
      </c>
      <c r="I2" s="13" t="s">
        <v>262</v>
      </c>
      <c r="J2" s="13" t="s">
        <v>263</v>
      </c>
      <c r="K2" s="13" t="s">
        <v>264</v>
      </c>
      <c r="L2" s="13" t="s">
        <v>265</v>
      </c>
      <c r="M2" s="13" t="s">
        <v>266</v>
      </c>
      <c r="N2" s="13" t="s">
        <v>267</v>
      </c>
      <c r="O2" s="13" t="s">
        <v>268</v>
      </c>
      <c r="P2" s="13" t="s">
        <v>269</v>
      </c>
      <c r="Q2" s="13" t="s">
        <v>270</v>
      </c>
      <c r="R2" s="13" t="s">
        <v>271</v>
      </c>
      <c r="S2" s="12"/>
      <c r="T2" s="14" t="s">
        <v>3</v>
      </c>
      <c r="U2" s="15" t="s">
        <v>248</v>
      </c>
      <c r="V2" s="15" t="s">
        <v>249</v>
      </c>
      <c r="W2" s="15" t="s">
        <v>250</v>
      </c>
      <c r="X2" s="15" t="s">
        <v>251</v>
      </c>
      <c r="Y2" s="15" t="s">
        <v>252</v>
      </c>
      <c r="Z2" s="15" t="s">
        <v>253</v>
      </c>
      <c r="AA2" s="15" t="s">
        <v>254</v>
      </c>
      <c r="AB2" s="15" t="s">
        <v>255</v>
      </c>
      <c r="AC2" s="15" t="s">
        <v>256</v>
      </c>
      <c r="AD2" s="15" t="s">
        <v>257</v>
      </c>
      <c r="AE2" s="15" t="s">
        <v>258</v>
      </c>
      <c r="AF2" s="15" t="s">
        <v>259</v>
      </c>
      <c r="AG2" s="16"/>
      <c r="AH2" s="17" t="s">
        <v>4</v>
      </c>
      <c r="AI2" s="17" t="s">
        <v>236</v>
      </c>
      <c r="AJ2" s="17" t="s">
        <v>237</v>
      </c>
      <c r="AK2" s="17" t="s">
        <v>238</v>
      </c>
      <c r="AL2" s="17" t="s">
        <v>239</v>
      </c>
      <c r="AM2" s="17" t="s">
        <v>240</v>
      </c>
      <c r="AN2" s="17" t="s">
        <v>241</v>
      </c>
      <c r="AO2" s="17" t="s">
        <v>242</v>
      </c>
      <c r="AP2" s="17" t="s">
        <v>243</v>
      </c>
      <c r="AQ2" s="17" t="s">
        <v>244</v>
      </c>
      <c r="AR2" s="17" t="s">
        <v>245</v>
      </c>
      <c r="AS2" s="17" t="s">
        <v>246</v>
      </c>
      <c r="AT2" s="17" t="s">
        <v>247</v>
      </c>
      <c r="AU2" s="18"/>
      <c r="AV2" s="289" t="s">
        <v>418</v>
      </c>
      <c r="AW2" s="290" t="s">
        <v>419</v>
      </c>
      <c r="AX2" s="290" t="s">
        <v>420</v>
      </c>
      <c r="AY2" s="290" t="s">
        <v>421</v>
      </c>
      <c r="AZ2" s="290" t="s">
        <v>422</v>
      </c>
      <c r="BA2" s="290" t="s">
        <v>423</v>
      </c>
      <c r="BB2" s="290" t="s">
        <v>424</v>
      </c>
      <c r="BC2" s="290" t="s">
        <v>425</v>
      </c>
      <c r="BD2" s="290" t="s">
        <v>426</v>
      </c>
      <c r="BE2" s="290" t="s">
        <v>427</v>
      </c>
      <c r="BF2" s="290" t="s">
        <v>428</v>
      </c>
      <c r="BG2" s="290" t="s">
        <v>429</v>
      </c>
      <c r="BH2" s="290" t="s">
        <v>430</v>
      </c>
      <c r="BI2" s="289"/>
      <c r="BJ2" s="236" t="s">
        <v>418</v>
      </c>
      <c r="BK2" s="236" t="s">
        <v>431</v>
      </c>
      <c r="BL2" s="236" t="s">
        <v>432</v>
      </c>
      <c r="BM2" s="236" t="s">
        <v>433</v>
      </c>
      <c r="BN2" s="236" t="s">
        <v>434</v>
      </c>
      <c r="BO2" s="236" t="s">
        <v>435</v>
      </c>
      <c r="BP2" s="236" t="s">
        <v>436</v>
      </c>
      <c r="BQ2" s="236" t="s">
        <v>437</v>
      </c>
      <c r="BR2" s="236" t="s">
        <v>438</v>
      </c>
      <c r="BS2" s="236" t="s">
        <v>439</v>
      </c>
      <c r="BT2" s="236" t="s">
        <v>440</v>
      </c>
      <c r="BU2" s="236" t="s">
        <v>441</v>
      </c>
      <c r="BV2" s="236" t="s">
        <v>442</v>
      </c>
      <c r="BW2" s="237"/>
      <c r="BX2" s="239" t="s">
        <v>446</v>
      </c>
      <c r="BY2" s="240" t="s">
        <v>447</v>
      </c>
      <c r="BZ2" s="240" t="s">
        <v>448</v>
      </c>
      <c r="CA2" s="240" t="s">
        <v>449</v>
      </c>
      <c r="CB2" s="240" t="s">
        <v>450</v>
      </c>
      <c r="CC2" s="240" t="s">
        <v>451</v>
      </c>
      <c r="CD2" s="240" t="s">
        <v>452</v>
      </c>
      <c r="CE2" s="240" t="s">
        <v>453</v>
      </c>
      <c r="CF2" s="240" t="s">
        <v>454</v>
      </c>
      <c r="CG2" s="240" t="s">
        <v>455</v>
      </c>
      <c r="CH2" s="240" t="s">
        <v>456</v>
      </c>
      <c r="CI2" s="240" t="s">
        <v>457</v>
      </c>
      <c r="CJ2" s="240" t="s">
        <v>458</v>
      </c>
      <c r="CK2" s="239"/>
      <c r="CL2" s="239" t="s">
        <v>446</v>
      </c>
      <c r="CM2" s="239" t="s">
        <v>459</v>
      </c>
      <c r="CN2" s="239" t="s">
        <v>460</v>
      </c>
      <c r="CO2" s="239" t="s">
        <v>461</v>
      </c>
      <c r="CP2" s="239" t="s">
        <v>462</v>
      </c>
      <c r="CQ2" s="239" t="s">
        <v>463</v>
      </c>
      <c r="CR2" s="239" t="s">
        <v>464</v>
      </c>
      <c r="CS2" s="239" t="s">
        <v>465</v>
      </c>
      <c r="CT2" s="239" t="s">
        <v>466</v>
      </c>
      <c r="CU2" s="239" t="s">
        <v>467</v>
      </c>
      <c r="CV2" s="239" t="s">
        <v>468</v>
      </c>
      <c r="CW2" s="239" t="s">
        <v>469</v>
      </c>
      <c r="CX2" s="239" t="s">
        <v>470</v>
      </c>
      <c r="CY2" s="241"/>
    </row>
    <row r="3" spans="1:103" ht="19.5" customHeight="1">
      <c r="B3" s="9"/>
      <c r="C3" s="6"/>
      <c r="D3" s="10"/>
      <c r="E3" s="10"/>
      <c r="F3" s="12"/>
      <c r="G3" s="12">
        <v>1</v>
      </c>
      <c r="H3" s="12">
        <v>2</v>
      </c>
      <c r="I3" s="12">
        <v>3</v>
      </c>
      <c r="J3" s="12">
        <v>4</v>
      </c>
      <c r="K3" s="12">
        <v>5</v>
      </c>
      <c r="L3" s="12">
        <v>6</v>
      </c>
      <c r="M3" s="12">
        <v>7</v>
      </c>
      <c r="N3" s="12">
        <v>8</v>
      </c>
      <c r="O3" s="12">
        <v>9</v>
      </c>
      <c r="P3" s="12">
        <v>10</v>
      </c>
      <c r="Q3" s="12">
        <v>11</v>
      </c>
      <c r="R3" s="12">
        <v>12</v>
      </c>
      <c r="S3" s="12"/>
      <c r="T3" s="14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6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8"/>
      <c r="AV3" s="289"/>
      <c r="AW3" s="289">
        <v>1</v>
      </c>
      <c r="AX3" s="289">
        <v>2</v>
      </c>
      <c r="AY3" s="289">
        <v>3</v>
      </c>
      <c r="AZ3" s="289">
        <v>4</v>
      </c>
      <c r="BA3" s="289">
        <v>5</v>
      </c>
      <c r="BB3" s="289">
        <v>6</v>
      </c>
      <c r="BC3" s="289">
        <v>7</v>
      </c>
      <c r="BD3" s="289">
        <v>8</v>
      </c>
      <c r="BE3" s="289">
        <v>9</v>
      </c>
      <c r="BF3" s="289">
        <v>10</v>
      </c>
      <c r="BG3" s="289">
        <v>11</v>
      </c>
      <c r="BH3" s="289">
        <v>12</v>
      </c>
      <c r="BI3" s="289"/>
      <c r="BJ3" s="236"/>
      <c r="BK3" s="236"/>
      <c r="BL3" s="236"/>
      <c r="BM3" s="236"/>
      <c r="BN3" s="236"/>
      <c r="BO3" s="236"/>
      <c r="BP3" s="236"/>
      <c r="BQ3" s="236"/>
      <c r="BR3" s="236"/>
      <c r="BS3" s="236"/>
      <c r="BT3" s="236"/>
      <c r="BU3" s="236"/>
      <c r="BV3" s="236"/>
      <c r="BW3" s="237"/>
      <c r="BX3" s="239"/>
      <c r="BY3" s="239">
        <v>1</v>
      </c>
      <c r="BZ3" s="239">
        <v>2</v>
      </c>
      <c r="CA3" s="239">
        <v>3</v>
      </c>
      <c r="CB3" s="239">
        <v>4</v>
      </c>
      <c r="CC3" s="239">
        <v>5</v>
      </c>
      <c r="CD3" s="239">
        <v>6</v>
      </c>
      <c r="CE3" s="239">
        <v>7</v>
      </c>
      <c r="CF3" s="239">
        <v>8</v>
      </c>
      <c r="CG3" s="239">
        <v>9</v>
      </c>
      <c r="CH3" s="239">
        <v>10</v>
      </c>
      <c r="CI3" s="239">
        <v>11</v>
      </c>
      <c r="CJ3" s="239">
        <v>12</v>
      </c>
      <c r="CK3" s="239"/>
      <c r="CL3" s="239"/>
      <c r="CM3" s="239"/>
      <c r="CN3" s="239"/>
      <c r="CO3" s="239"/>
      <c r="CP3" s="239"/>
      <c r="CQ3" s="239"/>
      <c r="CR3" s="239"/>
      <c r="CS3" s="239"/>
      <c r="CT3" s="239"/>
      <c r="CU3" s="239"/>
      <c r="CV3" s="239"/>
      <c r="CW3" s="239"/>
      <c r="CX3" s="239"/>
      <c r="CY3" s="241"/>
    </row>
    <row r="4" spans="1:103" s="24" customFormat="1" ht="19.5" customHeight="1">
      <c r="A4" s="19" t="s">
        <v>5</v>
      </c>
      <c r="B4" s="18" t="s">
        <v>6</v>
      </c>
      <c r="C4" s="18"/>
      <c r="D4" s="20"/>
      <c r="E4" s="20"/>
      <c r="F4" s="21">
        <v>20807302319</v>
      </c>
      <c r="G4" s="21">
        <v>1423642801</v>
      </c>
      <c r="H4" s="21">
        <v>1255579031</v>
      </c>
      <c r="I4" s="21">
        <v>1616748999</v>
      </c>
      <c r="J4" s="21">
        <v>1335684623</v>
      </c>
      <c r="K4" s="21">
        <v>1195579817</v>
      </c>
      <c r="L4" s="21">
        <v>2098646855</v>
      </c>
      <c r="M4" s="21">
        <v>1279490114</v>
      </c>
      <c r="N4" s="21">
        <v>1281985293</v>
      </c>
      <c r="O4" s="21">
        <v>1630276362</v>
      </c>
      <c r="P4" s="21">
        <v>1239794061</v>
      </c>
      <c r="Q4" s="21">
        <v>4472785982</v>
      </c>
      <c r="R4" s="21">
        <v>1977088381</v>
      </c>
      <c r="S4" s="21">
        <v>1162124351</v>
      </c>
      <c r="T4" s="21">
        <v>20191939256.727276</v>
      </c>
      <c r="U4" s="21">
        <v>1487074320.2592592</v>
      </c>
      <c r="V4" s="21">
        <v>1493627178.2592592</v>
      </c>
      <c r="W4" s="21">
        <v>1774851423.2592592</v>
      </c>
      <c r="X4" s="21">
        <v>1474173362.7777777</v>
      </c>
      <c r="Y4" s="21">
        <v>1526468249.6666667</v>
      </c>
      <c r="Z4" s="21">
        <v>2308699187.9865322</v>
      </c>
      <c r="AA4" s="21">
        <v>1341447704.0370369</v>
      </c>
      <c r="AB4" s="21">
        <v>1311222087.2592592</v>
      </c>
      <c r="AC4" s="21">
        <v>1865664605.7777777</v>
      </c>
      <c r="AD4" s="21">
        <v>1421622087.2592592</v>
      </c>
      <c r="AE4" s="21">
        <v>1431881343.5185184</v>
      </c>
      <c r="AF4" s="21">
        <v>2755207706.666667</v>
      </c>
      <c r="AG4" s="22">
        <v>9938292522</v>
      </c>
      <c r="AH4" s="21">
        <v>27488502658</v>
      </c>
      <c r="AI4" s="21">
        <v>2178141707</v>
      </c>
      <c r="AJ4" s="21">
        <v>2077787709</v>
      </c>
      <c r="AK4" s="21">
        <v>2344941717</v>
      </c>
      <c r="AL4" s="21">
        <v>1974387701</v>
      </c>
      <c r="AM4" s="21">
        <v>2032931184</v>
      </c>
      <c r="AN4" s="21">
        <v>2494250298</v>
      </c>
      <c r="AO4" s="21">
        <v>2064843899</v>
      </c>
      <c r="AP4" s="21">
        <v>2058769462</v>
      </c>
      <c r="AQ4" s="21">
        <v>1855334066</v>
      </c>
      <c r="AR4" s="21">
        <v>1388669391</v>
      </c>
      <c r="AS4" s="21">
        <v>4355412022</v>
      </c>
      <c r="AT4" s="21">
        <v>2663033502</v>
      </c>
      <c r="AU4" s="23">
        <v>0</v>
      </c>
      <c r="AV4" s="21">
        <v>23775488383</v>
      </c>
      <c r="AW4" s="21">
        <v>1309763830</v>
      </c>
      <c r="AX4" s="21">
        <v>1432189163</v>
      </c>
      <c r="AY4" s="21">
        <v>1604975277</v>
      </c>
      <c r="AZ4" s="21">
        <v>1429038467</v>
      </c>
      <c r="BA4" s="21">
        <v>2073491748</v>
      </c>
      <c r="BB4" s="21">
        <v>2973625065</v>
      </c>
      <c r="BC4" s="21">
        <v>1581382139</v>
      </c>
      <c r="BD4" s="21">
        <v>1347582139</v>
      </c>
      <c r="BE4" s="21">
        <v>1627122139</v>
      </c>
      <c r="BF4" s="21">
        <v>1462165472</v>
      </c>
      <c r="BG4" s="21">
        <v>4434880472</v>
      </c>
      <c r="BH4" s="21">
        <v>2499272472</v>
      </c>
      <c r="BI4" s="21"/>
      <c r="BJ4" s="21">
        <v>23775488383.00565</v>
      </c>
      <c r="BK4" s="21">
        <v>1309763830</v>
      </c>
      <c r="BL4" s="21">
        <v>1455449050.0056496</v>
      </c>
      <c r="BM4" s="21">
        <v>1581715390</v>
      </c>
      <c r="BN4" s="21">
        <v>1429038467</v>
      </c>
      <c r="BO4" s="21">
        <v>2073491748</v>
      </c>
      <c r="BP4" s="21">
        <v>2973625065</v>
      </c>
      <c r="BQ4" s="21">
        <v>1581382139</v>
      </c>
      <c r="BR4" s="21">
        <v>1347582139</v>
      </c>
      <c r="BS4" s="21">
        <v>1627122139</v>
      </c>
      <c r="BT4" s="21">
        <v>1462165472</v>
      </c>
      <c r="BU4" s="21">
        <v>4434880472</v>
      </c>
      <c r="BV4" s="21">
        <v>2499272472</v>
      </c>
      <c r="BW4" s="22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2"/>
    </row>
    <row r="5" spans="1:103" s="32" customFormat="1" ht="19.5" customHeight="1">
      <c r="A5" s="25" t="s">
        <v>7</v>
      </c>
      <c r="B5" s="26" t="s">
        <v>8</v>
      </c>
      <c r="C5" s="26"/>
      <c r="D5" s="27"/>
      <c r="E5" s="27"/>
      <c r="F5" s="21">
        <v>8912691581</v>
      </c>
      <c r="G5" s="28">
        <v>794942292</v>
      </c>
      <c r="H5" s="28">
        <v>703470600</v>
      </c>
      <c r="I5" s="28">
        <v>731395053</v>
      </c>
      <c r="J5" s="28">
        <v>747176000</v>
      </c>
      <c r="K5" s="28">
        <v>702180250</v>
      </c>
      <c r="L5" s="28">
        <v>647241600</v>
      </c>
      <c r="M5" s="28">
        <v>635611200</v>
      </c>
      <c r="N5" s="28">
        <v>673241600</v>
      </c>
      <c r="O5" s="28">
        <v>787223650</v>
      </c>
      <c r="P5" s="28">
        <v>639327991</v>
      </c>
      <c r="Q5" s="28">
        <v>625318400</v>
      </c>
      <c r="R5" s="28">
        <v>1225562945</v>
      </c>
      <c r="S5" s="28">
        <v>0</v>
      </c>
      <c r="T5" s="29">
        <v>10175992092</v>
      </c>
      <c r="U5" s="28">
        <v>783233742</v>
      </c>
      <c r="V5" s="28">
        <v>695470600</v>
      </c>
      <c r="W5" s="28">
        <v>740477600</v>
      </c>
      <c r="X5" s="28">
        <v>842194350</v>
      </c>
      <c r="Y5" s="28">
        <v>804468350</v>
      </c>
      <c r="Z5" s="28">
        <v>1063168350</v>
      </c>
      <c r="AA5" s="28">
        <v>729620350</v>
      </c>
      <c r="AB5" s="28">
        <v>725320350</v>
      </c>
      <c r="AC5" s="28">
        <v>798720350</v>
      </c>
      <c r="AD5" s="28">
        <v>744220350</v>
      </c>
      <c r="AE5" s="28">
        <v>727320350</v>
      </c>
      <c r="AF5" s="28">
        <v>1521777350</v>
      </c>
      <c r="AG5" s="30"/>
      <c r="AH5" s="21">
        <v>10666551154</v>
      </c>
      <c r="AI5" s="28">
        <v>911788650</v>
      </c>
      <c r="AJ5" s="28">
        <v>958704861</v>
      </c>
      <c r="AK5" s="28">
        <v>950802765</v>
      </c>
      <c r="AL5" s="28">
        <v>803831750</v>
      </c>
      <c r="AM5" s="28">
        <v>765258550</v>
      </c>
      <c r="AN5" s="28">
        <v>808083850</v>
      </c>
      <c r="AO5" s="28">
        <v>789059150</v>
      </c>
      <c r="AP5" s="28">
        <v>815536750</v>
      </c>
      <c r="AQ5" s="28">
        <v>771099628</v>
      </c>
      <c r="AR5" s="28">
        <v>893400204</v>
      </c>
      <c r="AS5" s="28">
        <v>781678946</v>
      </c>
      <c r="AT5" s="28">
        <v>1417306050</v>
      </c>
      <c r="AU5" s="31">
        <v>0</v>
      </c>
      <c r="AV5" s="21">
        <v>9227278614</v>
      </c>
      <c r="AW5" s="28">
        <v>656209827</v>
      </c>
      <c r="AX5" s="28">
        <v>681487900</v>
      </c>
      <c r="AY5" s="28">
        <v>704746287</v>
      </c>
      <c r="AZ5" s="28">
        <v>710186400</v>
      </c>
      <c r="BA5" s="28">
        <v>699186400</v>
      </c>
      <c r="BB5" s="28">
        <v>864686400</v>
      </c>
      <c r="BC5" s="28">
        <v>699186400</v>
      </c>
      <c r="BD5" s="28">
        <v>699686400</v>
      </c>
      <c r="BE5" s="28">
        <v>732686400</v>
      </c>
      <c r="BF5" s="28">
        <v>706986400</v>
      </c>
      <c r="BG5" s="28">
        <v>699186400</v>
      </c>
      <c r="BH5" s="28">
        <v>1373043400</v>
      </c>
      <c r="BI5" s="28"/>
      <c r="BJ5" s="29">
        <v>9227278614.0056496</v>
      </c>
      <c r="BK5" s="28">
        <v>656209827</v>
      </c>
      <c r="BL5" s="28">
        <v>704747787.00564969</v>
      </c>
      <c r="BM5" s="28">
        <v>681486400</v>
      </c>
      <c r="BN5" s="28">
        <v>710186400</v>
      </c>
      <c r="BO5" s="28">
        <v>699186400</v>
      </c>
      <c r="BP5" s="28">
        <v>864686400</v>
      </c>
      <c r="BQ5" s="28">
        <v>699186400</v>
      </c>
      <c r="BR5" s="28">
        <v>699686400</v>
      </c>
      <c r="BS5" s="28">
        <v>732686400</v>
      </c>
      <c r="BT5" s="28">
        <v>706986400</v>
      </c>
      <c r="BU5" s="28">
        <v>699186400</v>
      </c>
      <c r="BV5" s="28">
        <v>1373043400</v>
      </c>
      <c r="BW5" s="30"/>
      <c r="BX5" s="21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9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30"/>
    </row>
    <row r="6" spans="1:103" s="40" customFormat="1" ht="19.5" customHeight="1" outlineLevel="1">
      <c r="A6" s="33"/>
      <c r="B6" s="26" t="s">
        <v>8</v>
      </c>
      <c r="C6" s="34" t="s">
        <v>9</v>
      </c>
      <c r="D6" s="35"/>
      <c r="E6" s="35"/>
      <c r="F6" s="36">
        <v>8262100376</v>
      </c>
      <c r="G6" s="37">
        <v>704243143</v>
      </c>
      <c r="H6" s="37">
        <v>664869200</v>
      </c>
      <c r="I6" s="37">
        <v>687625200</v>
      </c>
      <c r="J6" s="37">
        <v>709861100</v>
      </c>
      <c r="K6" s="37">
        <v>664496900</v>
      </c>
      <c r="L6" s="37">
        <v>614650700</v>
      </c>
      <c r="M6" s="37">
        <v>601516300</v>
      </c>
      <c r="N6" s="37">
        <v>640452200</v>
      </c>
      <c r="O6" s="37">
        <v>591357000</v>
      </c>
      <c r="P6" s="37">
        <v>598857000</v>
      </c>
      <c r="Q6" s="37">
        <v>592657000</v>
      </c>
      <c r="R6" s="37">
        <v>1191514633</v>
      </c>
      <c r="S6" s="37">
        <v>0</v>
      </c>
      <c r="T6" s="37">
        <v>9361207543</v>
      </c>
      <c r="U6" s="37">
        <v>703243143</v>
      </c>
      <c r="V6" s="37">
        <v>656869200</v>
      </c>
      <c r="W6" s="37">
        <v>696625200</v>
      </c>
      <c r="X6" s="37">
        <v>800657000</v>
      </c>
      <c r="Y6" s="37">
        <v>759557000</v>
      </c>
      <c r="Z6" s="37">
        <v>762257000</v>
      </c>
      <c r="AA6" s="37">
        <v>691457000</v>
      </c>
      <c r="AB6" s="37">
        <v>687157000</v>
      </c>
      <c r="AC6" s="37">
        <v>738557000</v>
      </c>
      <c r="AD6" s="37">
        <v>696057000</v>
      </c>
      <c r="AE6" s="37">
        <v>689157000</v>
      </c>
      <c r="AF6" s="37">
        <v>1479614000</v>
      </c>
      <c r="AG6" s="38"/>
      <c r="AH6" s="36">
        <v>9996692522</v>
      </c>
      <c r="AI6" s="37">
        <v>869901800</v>
      </c>
      <c r="AJ6" s="37">
        <v>849316900</v>
      </c>
      <c r="AK6" s="37">
        <v>901035100</v>
      </c>
      <c r="AL6" s="37">
        <v>746341000</v>
      </c>
      <c r="AM6" s="37">
        <v>725836200</v>
      </c>
      <c r="AN6" s="37">
        <v>767016500</v>
      </c>
      <c r="AO6" s="37">
        <v>747116800</v>
      </c>
      <c r="AP6" s="37">
        <v>778934400</v>
      </c>
      <c r="AQ6" s="37">
        <v>717325500</v>
      </c>
      <c r="AR6" s="37">
        <v>842189622</v>
      </c>
      <c r="AS6" s="37">
        <v>669917500</v>
      </c>
      <c r="AT6" s="37">
        <v>1381761200</v>
      </c>
      <c r="AU6" s="39">
        <v>0</v>
      </c>
      <c r="AV6" s="36">
        <v>8534622927</v>
      </c>
      <c r="AW6" s="37">
        <v>621738927</v>
      </c>
      <c r="AX6" s="37">
        <v>624857000</v>
      </c>
      <c r="AY6" s="37">
        <v>635157000</v>
      </c>
      <c r="AZ6" s="37">
        <v>672857000</v>
      </c>
      <c r="BA6" s="37">
        <v>661857000</v>
      </c>
      <c r="BB6" s="37">
        <v>662357000</v>
      </c>
      <c r="BC6" s="37">
        <v>661857000</v>
      </c>
      <c r="BD6" s="37">
        <v>662357000</v>
      </c>
      <c r="BE6" s="37">
        <v>673357000</v>
      </c>
      <c r="BF6" s="37">
        <v>664657000</v>
      </c>
      <c r="BG6" s="37">
        <v>661857000</v>
      </c>
      <c r="BH6" s="37">
        <v>1331714000</v>
      </c>
      <c r="BI6" s="37"/>
      <c r="BJ6" s="37">
        <v>8534622927</v>
      </c>
      <c r="BK6" s="37">
        <v>621738927</v>
      </c>
      <c r="BL6" s="37">
        <v>624857000</v>
      </c>
      <c r="BM6" s="37">
        <v>635157000</v>
      </c>
      <c r="BN6" s="37">
        <v>672857000</v>
      </c>
      <c r="BO6" s="37">
        <v>661857000</v>
      </c>
      <c r="BP6" s="37">
        <v>662357000</v>
      </c>
      <c r="BQ6" s="37">
        <v>661857000</v>
      </c>
      <c r="BR6" s="37">
        <v>662357000</v>
      </c>
      <c r="BS6" s="37">
        <v>673357000</v>
      </c>
      <c r="BT6" s="37">
        <v>664657000</v>
      </c>
      <c r="BU6" s="37">
        <v>661857000</v>
      </c>
      <c r="BV6" s="37">
        <v>1331714000</v>
      </c>
      <c r="BW6" s="38"/>
      <c r="BX6" s="36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8"/>
    </row>
    <row r="7" spans="1:103" ht="81" customHeight="1" outlineLevel="2">
      <c r="A7" s="41">
        <v>1</v>
      </c>
      <c r="B7" s="26" t="s">
        <v>8</v>
      </c>
      <c r="C7" s="42"/>
      <c r="D7" s="43" t="s">
        <v>10</v>
      </c>
      <c r="E7" s="43" t="s">
        <v>10</v>
      </c>
      <c r="F7" s="21">
        <v>7517260043</v>
      </c>
      <c r="G7" s="29">
        <v>701743143</v>
      </c>
      <c r="H7" s="29">
        <v>652669200</v>
      </c>
      <c r="I7" s="29">
        <v>684625200</v>
      </c>
      <c r="J7" s="29">
        <v>660361100</v>
      </c>
      <c r="K7" s="29">
        <v>662496900</v>
      </c>
      <c r="L7" s="29">
        <v>609450700</v>
      </c>
      <c r="M7" s="29">
        <v>600016300</v>
      </c>
      <c r="N7" s="29">
        <v>593452200</v>
      </c>
      <c r="O7" s="29">
        <v>587357000</v>
      </c>
      <c r="P7" s="29">
        <v>587357000</v>
      </c>
      <c r="Q7" s="29">
        <v>587357000</v>
      </c>
      <c r="R7" s="29">
        <v>590374300</v>
      </c>
      <c r="S7" s="29">
        <v>0</v>
      </c>
      <c r="T7" s="29">
        <v>8370550543</v>
      </c>
      <c r="U7" s="29">
        <v>701743143</v>
      </c>
      <c r="V7" s="29">
        <v>652669200</v>
      </c>
      <c r="W7" s="29">
        <v>684625200</v>
      </c>
      <c r="X7" s="29">
        <v>733557000</v>
      </c>
      <c r="Y7" s="29">
        <v>753557000</v>
      </c>
      <c r="Z7" s="29">
        <v>752057000</v>
      </c>
      <c r="AA7" s="29">
        <v>682057000</v>
      </c>
      <c r="AB7" s="29">
        <v>682057000</v>
      </c>
      <c r="AC7" s="29">
        <v>682057000</v>
      </c>
      <c r="AD7" s="29">
        <v>682057000</v>
      </c>
      <c r="AE7" s="29">
        <v>682057000</v>
      </c>
      <c r="AF7" s="29">
        <v>682057000</v>
      </c>
      <c r="AG7" s="44" t="s">
        <v>11</v>
      </c>
      <c r="AH7" s="21">
        <v>9038809622</v>
      </c>
      <c r="AI7" s="29">
        <v>858901800</v>
      </c>
      <c r="AJ7" s="29">
        <v>848416900</v>
      </c>
      <c r="AK7" s="29">
        <v>841935100</v>
      </c>
      <c r="AL7" s="29">
        <v>693841000</v>
      </c>
      <c r="AM7" s="29">
        <v>717136200</v>
      </c>
      <c r="AN7" s="29">
        <v>756616500</v>
      </c>
      <c r="AO7" s="29">
        <v>743516800</v>
      </c>
      <c r="AP7" s="29">
        <v>722934400</v>
      </c>
      <c r="AQ7" s="29">
        <v>712325500</v>
      </c>
      <c r="AR7" s="29">
        <v>825589622</v>
      </c>
      <c r="AS7" s="29">
        <v>666317500</v>
      </c>
      <c r="AT7" s="29">
        <v>651278300</v>
      </c>
      <c r="AU7" s="45">
        <v>0</v>
      </c>
      <c r="AV7" s="21">
        <v>7779165927</v>
      </c>
      <c r="AW7" s="29">
        <v>605238927</v>
      </c>
      <c r="AX7" s="29">
        <v>620357000</v>
      </c>
      <c r="AY7" s="29">
        <v>628357000</v>
      </c>
      <c r="AZ7" s="29">
        <v>658357000</v>
      </c>
      <c r="BA7" s="29">
        <v>658357000</v>
      </c>
      <c r="BB7" s="29">
        <v>658357000</v>
      </c>
      <c r="BC7" s="29">
        <v>658357000</v>
      </c>
      <c r="BD7" s="29">
        <v>658357000</v>
      </c>
      <c r="BE7" s="29">
        <v>658357000</v>
      </c>
      <c r="BF7" s="29">
        <v>658357000</v>
      </c>
      <c r="BG7" s="29">
        <v>658357000</v>
      </c>
      <c r="BH7" s="29">
        <v>658357000</v>
      </c>
      <c r="BI7" s="29"/>
      <c r="BJ7" s="29">
        <v>7779165927</v>
      </c>
      <c r="BK7" s="29">
        <v>605238927</v>
      </c>
      <c r="BL7" s="29">
        <v>620357000</v>
      </c>
      <c r="BM7" s="29">
        <v>628357000</v>
      </c>
      <c r="BN7" s="29">
        <v>658357000</v>
      </c>
      <c r="BO7" s="29">
        <v>658357000</v>
      </c>
      <c r="BP7" s="29">
        <v>658357000</v>
      </c>
      <c r="BQ7" s="29">
        <v>658357000</v>
      </c>
      <c r="BR7" s="29">
        <v>658357000</v>
      </c>
      <c r="BS7" s="29">
        <v>658357000</v>
      </c>
      <c r="BT7" s="29">
        <v>658357000</v>
      </c>
      <c r="BU7" s="29">
        <v>658357000</v>
      </c>
      <c r="BV7" s="29">
        <v>658357000</v>
      </c>
      <c r="BW7" s="44"/>
      <c r="BX7" s="21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44"/>
    </row>
    <row r="8" spans="1:103" ht="19.5" customHeight="1" outlineLevel="2">
      <c r="A8" s="41">
        <v>1</v>
      </c>
      <c r="B8" s="26" t="s">
        <v>8</v>
      </c>
      <c r="C8" s="42"/>
      <c r="D8" s="43" t="s">
        <v>12</v>
      </c>
      <c r="E8" s="43" t="s">
        <v>12</v>
      </c>
      <c r="F8" s="21">
        <v>584640333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584640333</v>
      </c>
      <c r="S8" s="29">
        <v>0</v>
      </c>
      <c r="T8" s="29">
        <v>682057000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682057000</v>
      </c>
      <c r="AG8" s="46"/>
      <c r="AH8" s="21">
        <v>624982900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R8" s="29">
        <v>0</v>
      </c>
      <c r="AS8" s="29">
        <v>0</v>
      </c>
      <c r="AT8" s="29">
        <v>624982900</v>
      </c>
      <c r="AU8" s="45" t="s">
        <v>399</v>
      </c>
      <c r="AV8" s="21">
        <v>658357000</v>
      </c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>
        <v>658357000</v>
      </c>
      <c r="BI8" s="29"/>
      <c r="BJ8" s="29">
        <v>658357000</v>
      </c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>
        <v>658357000</v>
      </c>
      <c r="BW8" s="46"/>
      <c r="BX8" s="21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46"/>
    </row>
    <row r="9" spans="1:103" ht="19.5" customHeight="1" outlineLevel="2">
      <c r="A9" s="41">
        <v>1</v>
      </c>
      <c r="B9" s="26" t="s">
        <v>8</v>
      </c>
      <c r="C9" s="42"/>
      <c r="D9" s="47" t="s">
        <v>13</v>
      </c>
      <c r="E9" s="47" t="s">
        <v>13</v>
      </c>
      <c r="F9" s="21">
        <v>32700000</v>
      </c>
      <c r="G9" s="29">
        <v>0</v>
      </c>
      <c r="H9" s="29">
        <v>2700000</v>
      </c>
      <c r="I9" s="29">
        <v>2000000</v>
      </c>
      <c r="J9" s="29">
        <v>2500000</v>
      </c>
      <c r="K9" s="29">
        <v>1500000</v>
      </c>
      <c r="L9" s="29">
        <v>4200000</v>
      </c>
      <c r="M9" s="29">
        <v>1500000</v>
      </c>
      <c r="N9" s="29">
        <v>2000000</v>
      </c>
      <c r="O9" s="29">
        <v>3000000</v>
      </c>
      <c r="P9" s="29">
        <v>4000000</v>
      </c>
      <c r="Q9" s="29">
        <v>4800000</v>
      </c>
      <c r="R9" s="29">
        <v>4500000</v>
      </c>
      <c r="S9" s="29">
        <v>0</v>
      </c>
      <c r="T9" s="29">
        <v>54600000</v>
      </c>
      <c r="U9" s="29">
        <v>0</v>
      </c>
      <c r="V9" s="29">
        <v>2700000</v>
      </c>
      <c r="W9" s="29">
        <v>2000000</v>
      </c>
      <c r="X9" s="29">
        <v>9600000</v>
      </c>
      <c r="Y9" s="29">
        <v>4500000</v>
      </c>
      <c r="Z9" s="29">
        <v>8700000</v>
      </c>
      <c r="AA9" s="29">
        <v>7900000</v>
      </c>
      <c r="AB9" s="29">
        <v>3600000</v>
      </c>
      <c r="AC9" s="29">
        <v>1000000</v>
      </c>
      <c r="AD9" s="29">
        <v>3000000</v>
      </c>
      <c r="AE9" s="29">
        <v>5600000</v>
      </c>
      <c r="AF9" s="29">
        <v>6000000</v>
      </c>
      <c r="AG9" s="48"/>
      <c r="AH9" s="21">
        <v>58400000</v>
      </c>
      <c r="AI9" s="29">
        <v>9000000</v>
      </c>
      <c r="AJ9" s="29">
        <v>900000</v>
      </c>
      <c r="AK9" s="29">
        <v>9600000</v>
      </c>
      <c r="AL9" s="29">
        <v>4500000</v>
      </c>
      <c r="AM9" s="29">
        <v>8700000</v>
      </c>
      <c r="AN9" s="29">
        <v>7900000</v>
      </c>
      <c r="AO9" s="29">
        <v>3600000</v>
      </c>
      <c r="AP9" s="29">
        <v>1000000</v>
      </c>
      <c r="AQ9" s="29">
        <v>3000000</v>
      </c>
      <c r="AR9" s="29">
        <v>5600000</v>
      </c>
      <c r="AS9" s="29">
        <v>3100000</v>
      </c>
      <c r="AT9" s="29">
        <v>1500000</v>
      </c>
      <c r="AU9" s="45">
        <v>0</v>
      </c>
      <c r="AV9" s="21">
        <v>36000000</v>
      </c>
      <c r="AW9" s="29">
        <v>3000000</v>
      </c>
      <c r="AX9" s="29">
        <v>3000000</v>
      </c>
      <c r="AY9" s="29">
        <v>3000000</v>
      </c>
      <c r="AZ9" s="29">
        <v>3000000</v>
      </c>
      <c r="BA9" s="29">
        <v>3000000</v>
      </c>
      <c r="BB9" s="29">
        <v>3000000</v>
      </c>
      <c r="BC9" s="29">
        <v>3000000</v>
      </c>
      <c r="BD9" s="29">
        <v>3000000</v>
      </c>
      <c r="BE9" s="29">
        <v>3000000</v>
      </c>
      <c r="BF9" s="29">
        <v>3000000</v>
      </c>
      <c r="BG9" s="29">
        <v>3000000</v>
      </c>
      <c r="BH9" s="29">
        <v>3000000</v>
      </c>
      <c r="BI9" s="29"/>
      <c r="BJ9" s="29">
        <v>36000000</v>
      </c>
      <c r="BK9" s="29">
        <v>3000000</v>
      </c>
      <c r="BL9" s="29">
        <v>3000000</v>
      </c>
      <c r="BM9" s="29">
        <v>3000000</v>
      </c>
      <c r="BN9" s="29">
        <v>3000000</v>
      </c>
      <c r="BO9" s="29">
        <v>3000000</v>
      </c>
      <c r="BP9" s="29">
        <v>3000000</v>
      </c>
      <c r="BQ9" s="29">
        <v>3000000</v>
      </c>
      <c r="BR9" s="29">
        <v>3000000</v>
      </c>
      <c r="BS9" s="29">
        <v>3000000</v>
      </c>
      <c r="BT9" s="29">
        <v>3000000</v>
      </c>
      <c r="BU9" s="29">
        <v>3000000</v>
      </c>
      <c r="BV9" s="29">
        <v>3000000</v>
      </c>
      <c r="BW9" s="48"/>
      <c r="BX9" s="21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48"/>
    </row>
    <row r="10" spans="1:103" ht="26.25" customHeight="1" outlineLevel="2">
      <c r="A10" s="41">
        <v>2</v>
      </c>
      <c r="B10" s="26" t="s">
        <v>8</v>
      </c>
      <c r="C10" s="42"/>
      <c r="D10" s="43" t="s">
        <v>14</v>
      </c>
      <c r="E10" s="43" t="s">
        <v>14</v>
      </c>
      <c r="F10" s="21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54000000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54000000</v>
      </c>
      <c r="AG10" s="44" t="s">
        <v>15</v>
      </c>
      <c r="AH10" s="21">
        <v>52000000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52000000</v>
      </c>
      <c r="AU10" s="45">
        <v>0</v>
      </c>
      <c r="AV10" s="21">
        <v>11000000</v>
      </c>
      <c r="AW10" s="29">
        <v>11000000</v>
      </c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>
        <v>11000000</v>
      </c>
      <c r="BK10" s="29">
        <v>11000000</v>
      </c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44"/>
      <c r="BX10" s="21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44"/>
    </row>
    <row r="11" spans="1:103" ht="19.5" customHeight="1" outlineLevel="2">
      <c r="A11" s="41">
        <v>2</v>
      </c>
      <c r="B11" s="26" t="s">
        <v>8</v>
      </c>
      <c r="C11" s="42"/>
      <c r="D11" s="43" t="s">
        <v>16</v>
      </c>
      <c r="E11" s="43" t="s">
        <v>16</v>
      </c>
      <c r="F11" s="21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H11" s="21">
        <v>47000000</v>
      </c>
      <c r="AI11" s="29">
        <v>0</v>
      </c>
      <c r="AJ11" s="29">
        <v>0</v>
      </c>
      <c r="AK11" s="29">
        <v>47000000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48" t="s">
        <v>17</v>
      </c>
      <c r="AV11" s="21">
        <v>0</v>
      </c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>
        <v>0</v>
      </c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X11" s="21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49"/>
    </row>
    <row r="12" spans="1:103" ht="19.5" customHeight="1" outlineLevel="2">
      <c r="A12" s="41">
        <v>2</v>
      </c>
      <c r="B12" s="26" t="s">
        <v>8</v>
      </c>
      <c r="C12" s="42"/>
      <c r="D12" s="50" t="s">
        <v>18</v>
      </c>
      <c r="E12" s="50" t="s">
        <v>18</v>
      </c>
      <c r="F12" s="21">
        <v>11000000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11000000</v>
      </c>
      <c r="S12" s="29">
        <v>0</v>
      </c>
      <c r="T12" s="29">
        <v>54000000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54000000</v>
      </c>
      <c r="AG12" s="48"/>
      <c r="AH12" s="21">
        <v>52000000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52000000</v>
      </c>
      <c r="AU12" s="45">
        <v>0</v>
      </c>
      <c r="AV12" s="21">
        <v>11000000</v>
      </c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>
        <v>11000000</v>
      </c>
      <c r="BI12" s="29"/>
      <c r="BJ12" s="29">
        <v>11000000</v>
      </c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>
        <v>11000000</v>
      </c>
      <c r="BW12" s="48"/>
      <c r="BX12" s="21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48"/>
    </row>
    <row r="13" spans="1:103" ht="19.5" customHeight="1" outlineLevel="2">
      <c r="A13" s="41">
        <v>2</v>
      </c>
      <c r="B13" s="26" t="s">
        <v>8</v>
      </c>
      <c r="C13" s="42"/>
      <c r="D13" s="51" t="s">
        <v>19</v>
      </c>
      <c r="E13" s="51" t="s">
        <v>19</v>
      </c>
      <c r="F13" s="21">
        <v>8000000</v>
      </c>
      <c r="G13" s="29">
        <v>0</v>
      </c>
      <c r="H13" s="29">
        <v>8000000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9000000</v>
      </c>
      <c r="U13" s="29">
        <v>0</v>
      </c>
      <c r="V13" s="29">
        <v>0</v>
      </c>
      <c r="W13" s="29">
        <v>9000000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H13" s="21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9">
        <v>0</v>
      </c>
      <c r="AU13" s="48" t="s">
        <v>20</v>
      </c>
      <c r="AV13" s="21">
        <v>2800000</v>
      </c>
      <c r="AW13" s="29"/>
      <c r="AX13" s="29"/>
      <c r="AY13" s="29">
        <v>2800000</v>
      </c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>
        <v>2800000</v>
      </c>
      <c r="BK13" s="29"/>
      <c r="BL13" s="29"/>
      <c r="BM13" s="29">
        <v>2800000</v>
      </c>
      <c r="BN13" s="29"/>
      <c r="BO13" s="29"/>
      <c r="BP13" s="29"/>
      <c r="BQ13" s="29"/>
      <c r="BR13" s="29"/>
      <c r="BS13" s="29"/>
      <c r="BT13" s="29"/>
      <c r="BU13" s="29"/>
      <c r="BV13" s="29"/>
      <c r="BX13" s="21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49"/>
    </row>
    <row r="14" spans="1:103" ht="19.5" customHeight="1" outlineLevel="2">
      <c r="A14" s="41">
        <v>2</v>
      </c>
      <c r="B14" s="26" t="s">
        <v>8</v>
      </c>
      <c r="C14" s="42"/>
      <c r="D14" s="51" t="s">
        <v>21</v>
      </c>
      <c r="E14" s="51" t="s">
        <v>21</v>
      </c>
      <c r="F14" s="21">
        <v>47000000</v>
      </c>
      <c r="G14" s="29">
        <v>0</v>
      </c>
      <c r="H14" s="29">
        <v>0</v>
      </c>
      <c r="I14" s="29">
        <v>0</v>
      </c>
      <c r="J14" s="29">
        <v>47000000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56000000</v>
      </c>
      <c r="U14" s="29">
        <v>0</v>
      </c>
      <c r="V14" s="29">
        <v>0</v>
      </c>
      <c r="W14" s="29">
        <v>0</v>
      </c>
      <c r="X14" s="29">
        <v>56000000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48"/>
      <c r="AH14" s="21">
        <v>48000000</v>
      </c>
      <c r="AI14" s="29">
        <v>0</v>
      </c>
      <c r="AJ14" s="29">
        <v>0</v>
      </c>
      <c r="AK14" s="29">
        <v>0</v>
      </c>
      <c r="AL14" s="29">
        <v>48000000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45">
        <v>0</v>
      </c>
      <c r="AV14" s="21">
        <v>11000000</v>
      </c>
      <c r="AW14" s="29"/>
      <c r="AX14" s="29"/>
      <c r="AY14" s="29"/>
      <c r="AZ14" s="29">
        <v>11000000</v>
      </c>
      <c r="BA14" s="29"/>
      <c r="BB14" s="29"/>
      <c r="BC14" s="29"/>
      <c r="BD14" s="29"/>
      <c r="BE14" s="29"/>
      <c r="BF14" s="29"/>
      <c r="BG14" s="29"/>
      <c r="BH14" s="29"/>
      <c r="BI14" s="29"/>
      <c r="BJ14" s="29">
        <v>11000000</v>
      </c>
      <c r="BK14" s="29"/>
      <c r="BL14" s="29"/>
      <c r="BM14" s="29"/>
      <c r="BN14" s="29">
        <v>11000000</v>
      </c>
      <c r="BO14" s="29"/>
      <c r="BP14" s="29"/>
      <c r="BQ14" s="29"/>
      <c r="BR14" s="29"/>
      <c r="BS14" s="29"/>
      <c r="BT14" s="29"/>
      <c r="BU14" s="29"/>
      <c r="BV14" s="29"/>
      <c r="BW14" s="48"/>
      <c r="BX14" s="21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48"/>
    </row>
    <row r="15" spans="1:103" ht="19.5" customHeight="1" outlineLevel="2">
      <c r="A15" s="41">
        <v>2</v>
      </c>
      <c r="B15" s="26" t="s">
        <v>8</v>
      </c>
      <c r="C15" s="42"/>
      <c r="D15" s="51" t="s">
        <v>22</v>
      </c>
      <c r="E15" s="51" t="s">
        <v>22</v>
      </c>
      <c r="F15" s="21">
        <v>10500000</v>
      </c>
      <c r="G15" s="29">
        <v>2500000</v>
      </c>
      <c r="H15" s="29">
        <v>1500000</v>
      </c>
      <c r="I15" s="29">
        <v>1000000</v>
      </c>
      <c r="J15" s="29">
        <v>0</v>
      </c>
      <c r="K15" s="29">
        <v>500000</v>
      </c>
      <c r="L15" s="29">
        <v>1000000</v>
      </c>
      <c r="M15" s="29">
        <v>0</v>
      </c>
      <c r="N15" s="29">
        <v>1000000</v>
      </c>
      <c r="O15" s="29">
        <v>1000000</v>
      </c>
      <c r="P15" s="29">
        <v>500000</v>
      </c>
      <c r="Q15" s="29">
        <v>500000</v>
      </c>
      <c r="R15" s="29">
        <v>1000000</v>
      </c>
      <c r="S15" s="29">
        <v>0</v>
      </c>
      <c r="T15" s="29">
        <v>17500000</v>
      </c>
      <c r="U15" s="29">
        <v>1500000</v>
      </c>
      <c r="V15" s="29">
        <v>1500000</v>
      </c>
      <c r="W15" s="29">
        <v>1000000</v>
      </c>
      <c r="X15" s="29">
        <v>1500000</v>
      </c>
      <c r="Y15" s="29">
        <v>1500000</v>
      </c>
      <c r="Z15" s="29">
        <v>1500000</v>
      </c>
      <c r="AA15" s="29">
        <v>1500000</v>
      </c>
      <c r="AB15" s="29">
        <v>1500000</v>
      </c>
      <c r="AC15" s="29">
        <v>1500000</v>
      </c>
      <c r="AD15" s="29">
        <v>1500000</v>
      </c>
      <c r="AE15" s="29">
        <v>1500000</v>
      </c>
      <c r="AF15" s="29">
        <v>1500000</v>
      </c>
      <c r="AG15" s="48"/>
      <c r="AH15" s="21">
        <v>11000000</v>
      </c>
      <c r="AI15" s="29">
        <v>2000000</v>
      </c>
      <c r="AJ15" s="29">
        <v>0</v>
      </c>
      <c r="AK15" s="29">
        <v>2500000</v>
      </c>
      <c r="AL15" s="29">
        <v>0</v>
      </c>
      <c r="AM15" s="29">
        <v>0</v>
      </c>
      <c r="AN15" s="29">
        <v>2500000</v>
      </c>
      <c r="AO15" s="29">
        <v>0</v>
      </c>
      <c r="AP15" s="29">
        <v>0</v>
      </c>
      <c r="AQ15" s="29">
        <v>2000000</v>
      </c>
      <c r="AR15" s="29">
        <v>1500000</v>
      </c>
      <c r="AS15" s="29">
        <v>500000</v>
      </c>
      <c r="AT15" s="29">
        <v>0</v>
      </c>
      <c r="AU15" s="45">
        <v>0</v>
      </c>
      <c r="AV15" s="21">
        <v>11500000</v>
      </c>
      <c r="AW15" s="29">
        <v>2500000</v>
      </c>
      <c r="AX15" s="29">
        <v>1500000</v>
      </c>
      <c r="AY15" s="29">
        <v>1000000</v>
      </c>
      <c r="AZ15" s="29">
        <v>500000</v>
      </c>
      <c r="BA15" s="29">
        <v>500000</v>
      </c>
      <c r="BB15" s="29">
        <v>1000000</v>
      </c>
      <c r="BC15" s="29">
        <v>500000</v>
      </c>
      <c r="BD15" s="29">
        <v>1000000</v>
      </c>
      <c r="BE15" s="29">
        <v>1000000</v>
      </c>
      <c r="BF15" s="29">
        <v>500000</v>
      </c>
      <c r="BG15" s="29">
        <v>500000</v>
      </c>
      <c r="BH15" s="29">
        <v>1000000</v>
      </c>
      <c r="BI15" s="29"/>
      <c r="BJ15" s="29">
        <v>11500000</v>
      </c>
      <c r="BK15" s="29">
        <v>2500000</v>
      </c>
      <c r="BL15" s="29">
        <v>1500000</v>
      </c>
      <c r="BM15" s="29">
        <v>1000000</v>
      </c>
      <c r="BN15" s="29">
        <v>500000</v>
      </c>
      <c r="BO15" s="29">
        <v>500000</v>
      </c>
      <c r="BP15" s="29">
        <v>1000000</v>
      </c>
      <c r="BQ15" s="29">
        <v>500000</v>
      </c>
      <c r="BR15" s="29">
        <v>1000000</v>
      </c>
      <c r="BS15" s="29">
        <v>1000000</v>
      </c>
      <c r="BT15" s="29">
        <v>500000</v>
      </c>
      <c r="BU15" s="29">
        <v>500000</v>
      </c>
      <c r="BV15" s="29">
        <v>1000000</v>
      </c>
      <c r="BW15" s="48"/>
      <c r="BX15" s="21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48"/>
    </row>
    <row r="16" spans="1:103" ht="19.5" customHeight="1" outlineLevel="2">
      <c r="A16" s="41">
        <v>2</v>
      </c>
      <c r="B16" s="26" t="s">
        <v>8</v>
      </c>
      <c r="C16" s="42"/>
      <c r="D16" s="51" t="s">
        <v>23</v>
      </c>
      <c r="E16" s="51" t="s">
        <v>23</v>
      </c>
      <c r="F16" s="21">
        <v>44000000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44000000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54000000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54000000</v>
      </c>
      <c r="AD16" s="29">
        <v>0</v>
      </c>
      <c r="AE16" s="29">
        <v>0</v>
      </c>
      <c r="AF16" s="29">
        <v>0</v>
      </c>
      <c r="AG16" s="48"/>
      <c r="AH16" s="21">
        <v>55000000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55000000</v>
      </c>
      <c r="AQ16" s="29">
        <v>0</v>
      </c>
      <c r="AR16" s="29">
        <v>0</v>
      </c>
      <c r="AS16" s="29">
        <v>0</v>
      </c>
      <c r="AT16" s="29">
        <v>0</v>
      </c>
      <c r="AU16" s="45">
        <v>0</v>
      </c>
      <c r="AV16" s="21">
        <v>11000000</v>
      </c>
      <c r="AW16" s="29"/>
      <c r="AX16" s="29"/>
      <c r="AY16" s="29"/>
      <c r="AZ16" s="29"/>
      <c r="BA16" s="29"/>
      <c r="BB16" s="29"/>
      <c r="BC16" s="29"/>
      <c r="BD16" s="29"/>
      <c r="BE16" s="29">
        <v>11000000</v>
      </c>
      <c r="BF16" s="29"/>
      <c r="BG16" s="29"/>
      <c r="BH16" s="29"/>
      <c r="BI16" s="29"/>
      <c r="BJ16" s="29">
        <v>11000000</v>
      </c>
      <c r="BK16" s="29"/>
      <c r="BL16" s="29"/>
      <c r="BM16" s="29"/>
      <c r="BN16" s="29"/>
      <c r="BO16" s="29"/>
      <c r="BP16" s="29"/>
      <c r="BQ16" s="29"/>
      <c r="BR16" s="29"/>
      <c r="BS16" s="29">
        <v>11000000</v>
      </c>
      <c r="BT16" s="29"/>
      <c r="BU16" s="29"/>
      <c r="BV16" s="29"/>
      <c r="BW16" s="48"/>
      <c r="BX16" s="21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48"/>
    </row>
    <row r="17" spans="1:103" ht="19.5" customHeight="1" outlineLevel="2">
      <c r="A17" s="41">
        <v>2</v>
      </c>
      <c r="B17" s="26" t="s">
        <v>8</v>
      </c>
      <c r="C17" s="42"/>
      <c r="D17" s="51" t="s">
        <v>24</v>
      </c>
      <c r="E17" s="51" t="s">
        <v>24</v>
      </c>
      <c r="F17" s="21">
        <v>7000000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7000000</v>
      </c>
      <c r="Q17" s="29">
        <v>0</v>
      </c>
      <c r="R17" s="29">
        <v>0</v>
      </c>
      <c r="S17" s="29">
        <v>0</v>
      </c>
      <c r="T17" s="29">
        <v>9500000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9500000</v>
      </c>
      <c r="AE17" s="29">
        <v>0</v>
      </c>
      <c r="AF17" s="29">
        <v>0</v>
      </c>
      <c r="AG17" s="48"/>
      <c r="AH17" s="21">
        <v>9500000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9500000</v>
      </c>
      <c r="AS17" s="29">
        <v>0</v>
      </c>
      <c r="AT17" s="29">
        <v>0</v>
      </c>
      <c r="AU17" s="45">
        <v>0</v>
      </c>
      <c r="AV17" s="21">
        <v>2800000</v>
      </c>
      <c r="AW17" s="29"/>
      <c r="AX17" s="29"/>
      <c r="AY17" s="29"/>
      <c r="AZ17" s="29"/>
      <c r="BA17" s="29"/>
      <c r="BB17" s="29"/>
      <c r="BC17" s="29"/>
      <c r="BD17" s="29"/>
      <c r="BE17" s="29"/>
      <c r="BF17" s="29">
        <v>2800000</v>
      </c>
      <c r="BG17" s="29"/>
      <c r="BH17" s="29"/>
      <c r="BI17" s="29"/>
      <c r="BJ17" s="29">
        <v>2800000</v>
      </c>
      <c r="BK17" s="29"/>
      <c r="BL17" s="29"/>
      <c r="BM17" s="29"/>
      <c r="BN17" s="29"/>
      <c r="BO17" s="29"/>
      <c r="BP17" s="29"/>
      <c r="BQ17" s="29"/>
      <c r="BR17" s="29"/>
      <c r="BS17" s="29"/>
      <c r="BT17" s="29">
        <v>2800000</v>
      </c>
      <c r="BU17" s="29"/>
      <c r="BV17" s="29"/>
      <c r="BW17" s="48"/>
      <c r="BX17" s="21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48"/>
    </row>
    <row r="18" spans="1:103" s="40" customFormat="1" ht="19.5" customHeight="1" outlineLevel="1">
      <c r="A18" s="33"/>
      <c r="B18" s="26" t="s">
        <v>8</v>
      </c>
      <c r="C18" s="34" t="s">
        <v>25</v>
      </c>
      <c r="D18" s="52"/>
      <c r="E18" s="52"/>
      <c r="F18" s="36">
        <v>425087700</v>
      </c>
      <c r="G18" s="37">
        <v>40009850</v>
      </c>
      <c r="H18" s="37">
        <v>38601400</v>
      </c>
      <c r="I18" s="37">
        <v>39852400</v>
      </c>
      <c r="J18" s="37">
        <v>37314900</v>
      </c>
      <c r="K18" s="37">
        <v>37683350</v>
      </c>
      <c r="L18" s="37">
        <v>32590900</v>
      </c>
      <c r="M18" s="37">
        <v>34094900</v>
      </c>
      <c r="N18" s="37">
        <v>32789400</v>
      </c>
      <c r="O18" s="37">
        <v>32661400</v>
      </c>
      <c r="P18" s="37">
        <v>32661400</v>
      </c>
      <c r="Q18" s="37">
        <v>32661400</v>
      </c>
      <c r="R18" s="37">
        <v>34166400</v>
      </c>
      <c r="S18" s="37">
        <v>0</v>
      </c>
      <c r="T18" s="37">
        <v>478803800</v>
      </c>
      <c r="U18" s="37">
        <v>40009850</v>
      </c>
      <c r="V18" s="37">
        <v>38601400</v>
      </c>
      <c r="W18" s="37">
        <v>39852400</v>
      </c>
      <c r="X18" s="37">
        <v>41537350</v>
      </c>
      <c r="Y18" s="37">
        <v>44911350</v>
      </c>
      <c r="Z18" s="37">
        <v>44911350</v>
      </c>
      <c r="AA18" s="37">
        <v>38163350</v>
      </c>
      <c r="AB18" s="37">
        <v>38163350</v>
      </c>
      <c r="AC18" s="37">
        <v>38163350</v>
      </c>
      <c r="AD18" s="37">
        <v>38163350</v>
      </c>
      <c r="AE18" s="37">
        <v>38163350</v>
      </c>
      <c r="AF18" s="37">
        <v>38163350</v>
      </c>
      <c r="AG18" s="53"/>
      <c r="AH18" s="36">
        <v>467587700</v>
      </c>
      <c r="AI18" s="37">
        <v>41886850</v>
      </c>
      <c r="AJ18" s="37">
        <v>41676850</v>
      </c>
      <c r="AK18" s="37">
        <v>40172850</v>
      </c>
      <c r="AL18" s="37">
        <v>39422350</v>
      </c>
      <c r="AM18" s="37">
        <v>39422350</v>
      </c>
      <c r="AN18" s="37">
        <v>41067350</v>
      </c>
      <c r="AO18" s="37">
        <v>38247350</v>
      </c>
      <c r="AP18" s="37">
        <v>36602350</v>
      </c>
      <c r="AQ18" s="37">
        <v>36602350</v>
      </c>
      <c r="AR18" s="37">
        <v>38247350</v>
      </c>
      <c r="AS18" s="37">
        <v>38694850</v>
      </c>
      <c r="AT18" s="37">
        <v>35544850</v>
      </c>
      <c r="AU18" s="39">
        <v>0</v>
      </c>
      <c r="AV18" s="36">
        <v>442235800</v>
      </c>
      <c r="AW18" s="37">
        <v>34470900</v>
      </c>
      <c r="AX18" s="37">
        <v>34470900</v>
      </c>
      <c r="AY18" s="37">
        <v>37329400</v>
      </c>
      <c r="AZ18" s="37">
        <v>37329400</v>
      </c>
      <c r="BA18" s="37">
        <v>37329400</v>
      </c>
      <c r="BB18" s="37">
        <v>37329400</v>
      </c>
      <c r="BC18" s="37">
        <v>37329400</v>
      </c>
      <c r="BD18" s="37">
        <v>37329400</v>
      </c>
      <c r="BE18" s="37">
        <v>37329400</v>
      </c>
      <c r="BF18" s="37">
        <v>37329400</v>
      </c>
      <c r="BG18" s="37">
        <v>37329400</v>
      </c>
      <c r="BH18" s="37">
        <v>37329400</v>
      </c>
      <c r="BI18" s="37"/>
      <c r="BJ18" s="37">
        <v>442235800</v>
      </c>
      <c r="BK18" s="37">
        <v>34470900</v>
      </c>
      <c r="BL18" s="37">
        <v>34470900</v>
      </c>
      <c r="BM18" s="37">
        <v>37329400</v>
      </c>
      <c r="BN18" s="37">
        <v>37329400</v>
      </c>
      <c r="BO18" s="37">
        <v>37329400</v>
      </c>
      <c r="BP18" s="37">
        <v>37329400</v>
      </c>
      <c r="BQ18" s="37">
        <v>37329400</v>
      </c>
      <c r="BR18" s="37">
        <v>37329400</v>
      </c>
      <c r="BS18" s="37">
        <v>37329400</v>
      </c>
      <c r="BT18" s="37">
        <v>37329400</v>
      </c>
      <c r="BU18" s="37">
        <v>37329400</v>
      </c>
      <c r="BV18" s="37">
        <v>37329400</v>
      </c>
      <c r="BW18" s="53"/>
      <c r="BX18" s="36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53"/>
    </row>
    <row r="19" spans="1:103" ht="19.5" customHeight="1" outlineLevel="2">
      <c r="A19" s="41">
        <v>3</v>
      </c>
      <c r="B19" s="26" t="s">
        <v>8</v>
      </c>
      <c r="C19" s="42"/>
      <c r="D19" s="43" t="s">
        <v>26</v>
      </c>
      <c r="E19" s="43" t="s">
        <v>26</v>
      </c>
      <c r="F19" s="21">
        <v>387339300</v>
      </c>
      <c r="G19" s="29">
        <v>36479650</v>
      </c>
      <c r="H19" s="29">
        <v>35096600</v>
      </c>
      <c r="I19" s="29">
        <v>36335600</v>
      </c>
      <c r="J19" s="29">
        <v>34028100</v>
      </c>
      <c r="K19" s="29">
        <v>34351150</v>
      </c>
      <c r="L19" s="29">
        <v>29692100</v>
      </c>
      <c r="M19" s="29">
        <v>31068100</v>
      </c>
      <c r="N19" s="29">
        <v>29756600</v>
      </c>
      <c r="O19" s="29">
        <v>29756600</v>
      </c>
      <c r="P19" s="29">
        <v>29756600</v>
      </c>
      <c r="Q19" s="29">
        <v>29756600</v>
      </c>
      <c r="R19" s="29">
        <v>31261600</v>
      </c>
      <c r="S19" s="29">
        <v>0</v>
      </c>
      <c r="T19" s="29">
        <v>435906200</v>
      </c>
      <c r="U19" s="29">
        <v>36479650</v>
      </c>
      <c r="V19" s="29">
        <v>35096600</v>
      </c>
      <c r="W19" s="29">
        <v>36335600</v>
      </c>
      <c r="X19" s="29">
        <v>37877150</v>
      </c>
      <c r="Y19" s="29">
        <v>41102150</v>
      </c>
      <c r="Z19" s="29">
        <v>41102150</v>
      </c>
      <c r="AA19" s="29">
        <v>34652150</v>
      </c>
      <c r="AB19" s="29">
        <v>34652150</v>
      </c>
      <c r="AC19" s="29">
        <v>34652150</v>
      </c>
      <c r="AD19" s="29">
        <v>34652150</v>
      </c>
      <c r="AE19" s="29">
        <v>34652150</v>
      </c>
      <c r="AF19" s="29">
        <v>34652150</v>
      </c>
      <c r="AG19" s="48"/>
      <c r="AH19" s="21">
        <v>426491300</v>
      </c>
      <c r="AI19" s="29">
        <v>38232650</v>
      </c>
      <c r="AJ19" s="29">
        <v>38022650</v>
      </c>
      <c r="AK19" s="29">
        <v>36646650</v>
      </c>
      <c r="AL19" s="29">
        <v>35942150</v>
      </c>
      <c r="AM19" s="29">
        <v>35942150</v>
      </c>
      <c r="AN19" s="29">
        <v>37447150</v>
      </c>
      <c r="AO19" s="29">
        <v>34867150</v>
      </c>
      <c r="AP19" s="29">
        <v>33362150</v>
      </c>
      <c r="AQ19" s="29">
        <v>33362150</v>
      </c>
      <c r="AR19" s="29">
        <v>34867150</v>
      </c>
      <c r="AS19" s="29">
        <v>35404650</v>
      </c>
      <c r="AT19" s="29">
        <v>32394650</v>
      </c>
      <c r="AU19" s="45">
        <v>0</v>
      </c>
      <c r="AV19" s="21">
        <v>404250200</v>
      </c>
      <c r="AW19" s="29">
        <v>31412100</v>
      </c>
      <c r="AX19" s="29">
        <v>31412100</v>
      </c>
      <c r="AY19" s="29">
        <v>34142600</v>
      </c>
      <c r="AZ19" s="29">
        <v>34142600</v>
      </c>
      <c r="BA19" s="29">
        <v>34142600</v>
      </c>
      <c r="BB19" s="29">
        <v>34142600</v>
      </c>
      <c r="BC19" s="29">
        <v>34142600</v>
      </c>
      <c r="BD19" s="29">
        <v>34142600</v>
      </c>
      <c r="BE19" s="29">
        <v>34142600</v>
      </c>
      <c r="BF19" s="29">
        <v>34142600</v>
      </c>
      <c r="BG19" s="29">
        <v>34142600</v>
      </c>
      <c r="BH19" s="29">
        <v>34142600</v>
      </c>
      <c r="BI19" s="29"/>
      <c r="BJ19" s="29">
        <v>404250200</v>
      </c>
      <c r="BK19" s="29">
        <v>31412100</v>
      </c>
      <c r="BL19" s="29">
        <v>31412100</v>
      </c>
      <c r="BM19" s="29">
        <v>34142600</v>
      </c>
      <c r="BN19" s="29">
        <v>34142600</v>
      </c>
      <c r="BO19" s="29">
        <v>34142600</v>
      </c>
      <c r="BP19" s="29">
        <v>34142600</v>
      </c>
      <c r="BQ19" s="29">
        <v>34142600</v>
      </c>
      <c r="BR19" s="29">
        <v>34142600</v>
      </c>
      <c r="BS19" s="29">
        <v>34142600</v>
      </c>
      <c r="BT19" s="29">
        <v>34142600</v>
      </c>
      <c r="BU19" s="29">
        <v>34142600</v>
      </c>
      <c r="BV19" s="29">
        <v>34142600</v>
      </c>
      <c r="BW19" s="48"/>
      <c r="BX19" s="21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48"/>
    </row>
    <row r="20" spans="1:103" ht="19.5" customHeight="1" outlineLevel="2">
      <c r="A20" s="41">
        <v>3</v>
      </c>
      <c r="B20" s="26" t="s">
        <v>8</v>
      </c>
      <c r="C20" s="42"/>
      <c r="D20" s="43" t="s">
        <v>27</v>
      </c>
      <c r="E20" s="43" t="s">
        <v>27</v>
      </c>
      <c r="F20" s="21">
        <v>37748400</v>
      </c>
      <c r="G20" s="29">
        <v>3530200</v>
      </c>
      <c r="H20" s="29">
        <v>3504800</v>
      </c>
      <c r="I20" s="29">
        <v>3516800</v>
      </c>
      <c r="J20" s="29">
        <v>3286800</v>
      </c>
      <c r="K20" s="29">
        <v>3332200</v>
      </c>
      <c r="L20" s="29">
        <v>2898800</v>
      </c>
      <c r="M20" s="29">
        <v>3026800</v>
      </c>
      <c r="N20" s="29">
        <v>3032800</v>
      </c>
      <c r="O20" s="29">
        <v>2904800</v>
      </c>
      <c r="P20" s="29">
        <v>2904800</v>
      </c>
      <c r="Q20" s="29">
        <v>2904800</v>
      </c>
      <c r="R20" s="29">
        <v>2904800</v>
      </c>
      <c r="S20" s="29">
        <v>0</v>
      </c>
      <c r="T20" s="29">
        <v>42897600</v>
      </c>
      <c r="U20" s="29">
        <v>3530200</v>
      </c>
      <c r="V20" s="29">
        <v>3504800</v>
      </c>
      <c r="W20" s="29">
        <v>3516800</v>
      </c>
      <c r="X20" s="29">
        <v>3660200</v>
      </c>
      <c r="Y20" s="29">
        <v>3809200</v>
      </c>
      <c r="Z20" s="29">
        <v>3809200</v>
      </c>
      <c r="AA20" s="29">
        <v>3511200</v>
      </c>
      <c r="AB20" s="29">
        <v>3511200</v>
      </c>
      <c r="AC20" s="29">
        <v>3511200</v>
      </c>
      <c r="AD20" s="29">
        <v>3511200</v>
      </c>
      <c r="AE20" s="29">
        <v>3511200</v>
      </c>
      <c r="AF20" s="29">
        <v>3511200</v>
      </c>
      <c r="AG20" s="48"/>
      <c r="AH20" s="21">
        <v>41096400</v>
      </c>
      <c r="AI20" s="29">
        <v>3654200</v>
      </c>
      <c r="AJ20" s="29">
        <v>3654200</v>
      </c>
      <c r="AK20" s="29">
        <v>3526200</v>
      </c>
      <c r="AL20" s="29">
        <v>3480200</v>
      </c>
      <c r="AM20" s="29">
        <v>3480200</v>
      </c>
      <c r="AN20" s="29">
        <v>3620200</v>
      </c>
      <c r="AO20" s="29">
        <v>3380200</v>
      </c>
      <c r="AP20" s="29">
        <v>3240200</v>
      </c>
      <c r="AQ20" s="29">
        <v>3240200</v>
      </c>
      <c r="AR20" s="29">
        <v>3380200</v>
      </c>
      <c r="AS20" s="29">
        <v>3290200</v>
      </c>
      <c r="AT20" s="29">
        <v>3150200</v>
      </c>
      <c r="AU20" s="45">
        <v>0</v>
      </c>
      <c r="AV20" s="21">
        <v>37985600</v>
      </c>
      <c r="AW20" s="29">
        <v>3058800</v>
      </c>
      <c r="AX20" s="29">
        <v>3058800</v>
      </c>
      <c r="AY20" s="29">
        <v>3186800</v>
      </c>
      <c r="AZ20" s="29">
        <v>3186800</v>
      </c>
      <c r="BA20" s="29">
        <v>3186800</v>
      </c>
      <c r="BB20" s="29">
        <v>3186800</v>
      </c>
      <c r="BC20" s="29">
        <v>3186800</v>
      </c>
      <c r="BD20" s="29">
        <v>3186800</v>
      </c>
      <c r="BE20" s="29">
        <v>3186800</v>
      </c>
      <c r="BF20" s="29">
        <v>3186800</v>
      </c>
      <c r="BG20" s="29">
        <v>3186800</v>
      </c>
      <c r="BH20" s="29">
        <v>3186800</v>
      </c>
      <c r="BI20" s="29"/>
      <c r="BJ20" s="29">
        <v>37985600</v>
      </c>
      <c r="BK20" s="29">
        <v>3058800</v>
      </c>
      <c r="BL20" s="29">
        <v>3058800</v>
      </c>
      <c r="BM20" s="29">
        <v>3186800</v>
      </c>
      <c r="BN20" s="29">
        <v>3186800</v>
      </c>
      <c r="BO20" s="29">
        <v>3186800</v>
      </c>
      <c r="BP20" s="29">
        <v>3186800</v>
      </c>
      <c r="BQ20" s="29">
        <v>3186800</v>
      </c>
      <c r="BR20" s="29">
        <v>3186800</v>
      </c>
      <c r="BS20" s="29">
        <v>3186800</v>
      </c>
      <c r="BT20" s="29">
        <v>3186800</v>
      </c>
      <c r="BU20" s="29">
        <v>3186800</v>
      </c>
      <c r="BV20" s="29">
        <v>3186800</v>
      </c>
      <c r="BW20" s="48"/>
      <c r="BX20" s="21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48"/>
    </row>
    <row r="21" spans="1:103" s="40" customFormat="1" ht="19.5" customHeight="1" outlineLevel="1">
      <c r="A21" s="41"/>
      <c r="B21" s="26" t="s">
        <v>8</v>
      </c>
      <c r="C21" s="34" t="s">
        <v>28</v>
      </c>
      <c r="D21" s="52"/>
      <c r="E21" s="52"/>
      <c r="F21" s="36">
        <v>225503505</v>
      </c>
      <c r="G21" s="37">
        <v>50689299</v>
      </c>
      <c r="H21" s="37">
        <v>0</v>
      </c>
      <c r="I21" s="37">
        <v>3917453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163205250</v>
      </c>
      <c r="P21" s="37">
        <v>7809591</v>
      </c>
      <c r="Q21" s="37">
        <v>0</v>
      </c>
      <c r="R21" s="37">
        <v>-118088</v>
      </c>
      <c r="S21" s="37">
        <v>0</v>
      </c>
      <c r="T21" s="37">
        <v>335980749</v>
      </c>
      <c r="U21" s="37">
        <v>39980749</v>
      </c>
      <c r="V21" s="37">
        <v>0</v>
      </c>
      <c r="W21" s="37">
        <v>4000000</v>
      </c>
      <c r="X21" s="37">
        <v>0</v>
      </c>
      <c r="Y21" s="37">
        <v>0</v>
      </c>
      <c r="Z21" s="37">
        <v>256000000</v>
      </c>
      <c r="AA21" s="37">
        <v>0</v>
      </c>
      <c r="AB21" s="37">
        <v>0</v>
      </c>
      <c r="AC21" s="37">
        <v>22000000</v>
      </c>
      <c r="AD21" s="37">
        <v>10000000</v>
      </c>
      <c r="AE21" s="37">
        <v>0</v>
      </c>
      <c r="AF21" s="37">
        <v>4000000</v>
      </c>
      <c r="AG21" s="53"/>
      <c r="AH21" s="36">
        <v>202270932</v>
      </c>
      <c r="AI21" s="37">
        <v>0</v>
      </c>
      <c r="AJ21" s="37">
        <v>67711111</v>
      </c>
      <c r="AK21" s="37">
        <v>9594815</v>
      </c>
      <c r="AL21" s="37">
        <v>18068400</v>
      </c>
      <c r="AM21" s="37">
        <v>0</v>
      </c>
      <c r="AN21" s="37">
        <v>0</v>
      </c>
      <c r="AO21" s="37">
        <v>3695000</v>
      </c>
      <c r="AP21" s="37">
        <v>0</v>
      </c>
      <c r="AQ21" s="37">
        <v>17171778</v>
      </c>
      <c r="AR21" s="37">
        <v>12963232</v>
      </c>
      <c r="AS21" s="37">
        <v>73066596</v>
      </c>
      <c r="AT21" s="37">
        <v>0</v>
      </c>
      <c r="AU21" s="39">
        <v>0</v>
      </c>
      <c r="AV21" s="36">
        <v>250419887</v>
      </c>
      <c r="AW21" s="37">
        <v>0</v>
      </c>
      <c r="AX21" s="37">
        <v>22160000</v>
      </c>
      <c r="AY21" s="37">
        <v>32259887</v>
      </c>
      <c r="AZ21" s="37">
        <v>0</v>
      </c>
      <c r="BA21" s="37">
        <v>0</v>
      </c>
      <c r="BB21" s="37">
        <v>165000000</v>
      </c>
      <c r="BC21" s="37">
        <v>0</v>
      </c>
      <c r="BD21" s="37">
        <v>0</v>
      </c>
      <c r="BE21" s="37">
        <v>22000000</v>
      </c>
      <c r="BF21" s="37">
        <v>5000000</v>
      </c>
      <c r="BG21" s="37">
        <v>0</v>
      </c>
      <c r="BH21" s="37">
        <v>4000000</v>
      </c>
      <c r="BI21" s="37"/>
      <c r="BJ21" s="37">
        <v>250419887.00564972</v>
      </c>
      <c r="BK21" s="37">
        <v>0</v>
      </c>
      <c r="BL21" s="37">
        <v>45419887.005649716</v>
      </c>
      <c r="BM21" s="37">
        <v>9000000</v>
      </c>
      <c r="BN21" s="37">
        <v>0</v>
      </c>
      <c r="BO21" s="37">
        <v>0</v>
      </c>
      <c r="BP21" s="37">
        <v>165000000</v>
      </c>
      <c r="BQ21" s="37">
        <v>0</v>
      </c>
      <c r="BR21" s="37">
        <v>0</v>
      </c>
      <c r="BS21" s="37">
        <v>22000000</v>
      </c>
      <c r="BT21" s="37">
        <v>5000000</v>
      </c>
      <c r="BU21" s="37">
        <v>0</v>
      </c>
      <c r="BV21" s="37">
        <v>4000000</v>
      </c>
      <c r="BW21" s="53"/>
      <c r="BX21" s="36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53"/>
    </row>
    <row r="22" spans="1:103" ht="19.5" customHeight="1" outlineLevel="2">
      <c r="A22" s="41">
        <v>5</v>
      </c>
      <c r="B22" s="26" t="s">
        <v>8</v>
      </c>
      <c r="C22" s="42"/>
      <c r="D22" s="51" t="s">
        <v>29</v>
      </c>
      <c r="E22" s="51" t="s">
        <v>29</v>
      </c>
      <c r="F22" s="21">
        <v>16205250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16205250</v>
      </c>
      <c r="P22" s="29">
        <v>0</v>
      </c>
      <c r="Q22" s="29">
        <v>0</v>
      </c>
      <c r="R22" s="29">
        <v>0</v>
      </c>
      <c r="S22" s="29">
        <v>0</v>
      </c>
      <c r="T22" s="29">
        <v>18000000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18000000</v>
      </c>
      <c r="AD22" s="29">
        <v>0</v>
      </c>
      <c r="AE22" s="29">
        <v>0</v>
      </c>
      <c r="AF22" s="29">
        <v>0</v>
      </c>
      <c r="AG22" s="48"/>
      <c r="AH22" s="21">
        <v>17171778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17171778</v>
      </c>
      <c r="AR22" s="29">
        <v>0</v>
      </c>
      <c r="AS22" s="29">
        <v>0</v>
      </c>
      <c r="AT22" s="29">
        <v>0</v>
      </c>
      <c r="AU22" s="45">
        <v>0</v>
      </c>
      <c r="AV22" s="21">
        <v>18000000</v>
      </c>
      <c r="AW22" s="29"/>
      <c r="AX22" s="29"/>
      <c r="AY22" s="29"/>
      <c r="AZ22" s="29"/>
      <c r="BA22" s="29"/>
      <c r="BB22" s="29"/>
      <c r="BC22" s="29"/>
      <c r="BD22" s="29"/>
      <c r="BE22" s="29">
        <v>18000000</v>
      </c>
      <c r="BF22" s="29"/>
      <c r="BG22" s="29"/>
      <c r="BH22" s="29"/>
      <c r="BI22" s="29"/>
      <c r="BJ22" s="29">
        <v>18000000</v>
      </c>
      <c r="BK22" s="29"/>
      <c r="BL22" s="29"/>
      <c r="BM22" s="29"/>
      <c r="BN22" s="29"/>
      <c r="BO22" s="29"/>
      <c r="BP22" s="29"/>
      <c r="BQ22" s="29"/>
      <c r="BR22" s="29"/>
      <c r="BS22" s="29">
        <v>18000000</v>
      </c>
      <c r="BT22" s="29"/>
      <c r="BU22" s="29"/>
      <c r="BV22" s="29"/>
      <c r="BW22" s="48"/>
      <c r="BX22" s="21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48"/>
    </row>
    <row r="23" spans="1:103" ht="19.5" customHeight="1" outlineLevel="2">
      <c r="A23" s="41">
        <v>5</v>
      </c>
      <c r="B23" s="26" t="s">
        <v>8</v>
      </c>
      <c r="C23" s="42"/>
      <c r="D23" s="51" t="s">
        <v>30</v>
      </c>
      <c r="E23" s="51" t="s">
        <v>30</v>
      </c>
      <c r="F23" s="21">
        <v>21852612</v>
      </c>
      <c r="G23" s="29">
        <v>21852612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11133299</v>
      </c>
      <c r="U23" s="29">
        <v>11133299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48"/>
      <c r="AH23" s="21">
        <v>23948400</v>
      </c>
      <c r="AI23" s="29">
        <v>0</v>
      </c>
      <c r="AJ23" s="29">
        <v>0</v>
      </c>
      <c r="AK23" s="29">
        <v>5880000</v>
      </c>
      <c r="AL23" s="29">
        <v>18068400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45">
        <v>0</v>
      </c>
      <c r="AV23" s="21">
        <v>20160000</v>
      </c>
      <c r="AW23" s="29"/>
      <c r="AX23" s="29">
        <v>20160000</v>
      </c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>
        <v>20160000</v>
      </c>
      <c r="BK23" s="29"/>
      <c r="BL23" s="29">
        <v>20160000</v>
      </c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48"/>
      <c r="BX23" s="21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48"/>
    </row>
    <row r="24" spans="1:103" ht="26.25" customHeight="1" outlineLevel="2">
      <c r="A24" s="41">
        <v>5</v>
      </c>
      <c r="B24" s="26" t="s">
        <v>8</v>
      </c>
      <c r="C24" s="42"/>
      <c r="D24" s="54" t="s">
        <v>31</v>
      </c>
      <c r="E24" s="54" t="s">
        <v>31</v>
      </c>
      <c r="F24" s="21">
        <v>143224912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147000000</v>
      </c>
      <c r="P24" s="29">
        <v>0</v>
      </c>
      <c r="Q24" s="29">
        <v>0</v>
      </c>
      <c r="R24" s="29">
        <v>-3775088</v>
      </c>
      <c r="S24" s="29">
        <v>0</v>
      </c>
      <c r="T24" s="29">
        <v>252000000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252000000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48" t="s">
        <v>32</v>
      </c>
      <c r="AH24" s="21">
        <v>73066596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0</v>
      </c>
      <c r="AS24" s="29">
        <v>73066596</v>
      </c>
      <c r="AT24" s="29">
        <v>0</v>
      </c>
      <c r="AU24" s="45" t="s">
        <v>400</v>
      </c>
      <c r="AV24" s="21">
        <v>161000000</v>
      </c>
      <c r="AW24" s="29"/>
      <c r="AX24" s="29"/>
      <c r="AY24" s="29"/>
      <c r="AZ24" s="29"/>
      <c r="BA24" s="29"/>
      <c r="BB24" s="29">
        <v>161000000</v>
      </c>
      <c r="BC24" s="29"/>
      <c r="BD24" s="29"/>
      <c r="BE24" s="29"/>
      <c r="BF24" s="29"/>
      <c r="BG24" s="29"/>
      <c r="BH24" s="29"/>
      <c r="BI24" s="29"/>
      <c r="BJ24" s="29">
        <v>161000000</v>
      </c>
      <c r="BK24" s="29"/>
      <c r="BL24" s="29"/>
      <c r="BM24" s="29"/>
      <c r="BN24" s="29"/>
      <c r="BO24" s="29"/>
      <c r="BP24" s="29">
        <v>161000000</v>
      </c>
      <c r="BQ24" s="29"/>
      <c r="BR24" s="29"/>
      <c r="BS24" s="29"/>
      <c r="BT24" s="29"/>
      <c r="BU24" s="29"/>
      <c r="BV24" s="29"/>
      <c r="BW24" s="48"/>
      <c r="BX24" s="21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48"/>
    </row>
    <row r="25" spans="1:103" ht="19.5" customHeight="1" outlineLevel="2">
      <c r="A25" s="41">
        <v>40</v>
      </c>
      <c r="B25" s="26" t="s">
        <v>8</v>
      </c>
      <c r="C25" s="42"/>
      <c r="D25" s="43" t="s">
        <v>33</v>
      </c>
      <c r="E25" s="43" t="s">
        <v>471</v>
      </c>
      <c r="F25" s="21">
        <v>10759044</v>
      </c>
      <c r="G25" s="29">
        <v>0</v>
      </c>
      <c r="H25" s="29">
        <v>0</v>
      </c>
      <c r="I25" s="29">
        <v>3917453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3184591</v>
      </c>
      <c r="Q25" s="29">
        <v>0</v>
      </c>
      <c r="R25" s="29">
        <v>3657000</v>
      </c>
      <c r="S25" s="29">
        <v>0</v>
      </c>
      <c r="T25" s="29">
        <v>16000000</v>
      </c>
      <c r="U25" s="29">
        <v>0</v>
      </c>
      <c r="V25" s="29">
        <v>0</v>
      </c>
      <c r="W25" s="29">
        <v>4000000</v>
      </c>
      <c r="X25" s="29">
        <v>0</v>
      </c>
      <c r="Y25" s="29">
        <v>0</v>
      </c>
      <c r="Z25" s="29">
        <v>4000000</v>
      </c>
      <c r="AA25" s="29">
        <v>0</v>
      </c>
      <c r="AB25" s="29">
        <v>0</v>
      </c>
      <c r="AC25" s="29">
        <v>4000000</v>
      </c>
      <c r="AD25" s="29">
        <v>0</v>
      </c>
      <c r="AE25" s="29">
        <v>0</v>
      </c>
      <c r="AF25" s="29">
        <v>4000000</v>
      </c>
      <c r="AG25" s="48"/>
      <c r="AH25" s="21">
        <v>16658232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3695000</v>
      </c>
      <c r="AP25" s="29">
        <v>0</v>
      </c>
      <c r="AQ25" s="29">
        <v>0</v>
      </c>
      <c r="AR25" s="29">
        <v>12963232</v>
      </c>
      <c r="AS25" s="29">
        <v>0</v>
      </c>
      <c r="AT25" s="29">
        <v>0</v>
      </c>
      <c r="AU25" s="45">
        <v>0</v>
      </c>
      <c r="AV25" s="21">
        <v>16000000</v>
      </c>
      <c r="AW25" s="29"/>
      <c r="AX25" s="29"/>
      <c r="AY25" s="29">
        <v>4000000</v>
      </c>
      <c r="AZ25" s="29"/>
      <c r="BA25" s="29"/>
      <c r="BB25" s="29">
        <v>4000000</v>
      </c>
      <c r="BC25" s="29"/>
      <c r="BD25" s="29"/>
      <c r="BE25" s="29">
        <v>4000000</v>
      </c>
      <c r="BF25" s="29"/>
      <c r="BG25" s="29"/>
      <c r="BH25" s="29">
        <v>4000000</v>
      </c>
      <c r="BI25" s="29"/>
      <c r="BJ25" s="29">
        <v>16000000</v>
      </c>
      <c r="BK25" s="29"/>
      <c r="BL25" s="29"/>
      <c r="BM25" s="29">
        <v>4000000</v>
      </c>
      <c r="BN25" s="29"/>
      <c r="BO25" s="29"/>
      <c r="BP25" s="29">
        <v>4000000</v>
      </c>
      <c r="BQ25" s="29"/>
      <c r="BR25" s="29"/>
      <c r="BS25" s="29">
        <v>4000000</v>
      </c>
      <c r="BT25" s="29"/>
      <c r="BU25" s="29"/>
      <c r="BV25" s="29">
        <v>4000000</v>
      </c>
      <c r="BW25" s="48"/>
      <c r="BX25" s="21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48"/>
    </row>
    <row r="26" spans="1:103" ht="29.25" customHeight="1" outlineLevel="2">
      <c r="A26" s="41">
        <v>40</v>
      </c>
      <c r="B26" s="26" t="s">
        <v>8</v>
      </c>
      <c r="C26" s="42"/>
      <c r="D26" s="54" t="s">
        <v>34</v>
      </c>
      <c r="E26" s="54" t="s">
        <v>34</v>
      </c>
      <c r="F26" s="21">
        <v>1989237</v>
      </c>
      <c r="G26" s="29">
        <v>1989237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2000000</v>
      </c>
      <c r="U26" s="29">
        <v>2000000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0</v>
      </c>
      <c r="AC26" s="29">
        <v>0</v>
      </c>
      <c r="AD26" s="29">
        <v>0</v>
      </c>
      <c r="AE26" s="29">
        <v>0</v>
      </c>
      <c r="AF26" s="29">
        <v>0</v>
      </c>
      <c r="AG26" s="48"/>
      <c r="AH26" s="21">
        <v>3714815</v>
      </c>
      <c r="AI26" s="29">
        <v>0</v>
      </c>
      <c r="AJ26" s="29">
        <v>0</v>
      </c>
      <c r="AK26" s="29">
        <v>3714815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45">
        <v>0</v>
      </c>
      <c r="AV26" s="21">
        <v>2000000</v>
      </c>
      <c r="AW26" s="29"/>
      <c r="AX26" s="29">
        <v>2000000</v>
      </c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>
        <v>2000000</v>
      </c>
      <c r="BK26" s="29"/>
      <c r="BL26" s="29">
        <v>2000000</v>
      </c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48"/>
      <c r="BX26" s="21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48"/>
    </row>
    <row r="27" spans="1:103" ht="19.5" customHeight="1" outlineLevel="2">
      <c r="A27" s="41">
        <v>40</v>
      </c>
      <c r="B27" s="26" t="s">
        <v>8</v>
      </c>
      <c r="C27" s="42"/>
      <c r="D27" s="54" t="s">
        <v>35</v>
      </c>
      <c r="E27" s="54" t="s">
        <v>35</v>
      </c>
      <c r="F27" s="21">
        <v>26847450</v>
      </c>
      <c r="G27" s="29">
        <v>26847450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26847450</v>
      </c>
      <c r="U27" s="29">
        <v>26847450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48"/>
      <c r="AH27" s="21">
        <v>67711111</v>
      </c>
      <c r="AI27" s="29">
        <v>0</v>
      </c>
      <c r="AJ27" s="29">
        <v>67711111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45">
        <v>0</v>
      </c>
      <c r="AV27" s="21">
        <v>23259887</v>
      </c>
      <c r="AW27" s="29"/>
      <c r="AX27" s="29"/>
      <c r="AY27" s="29">
        <v>23259887</v>
      </c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>
        <v>23259887.005649716</v>
      </c>
      <c r="BK27" s="29"/>
      <c r="BL27" s="29">
        <v>23259887.005649716</v>
      </c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48"/>
      <c r="BX27" s="21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48"/>
    </row>
    <row r="28" spans="1:103" ht="19.5" customHeight="1" outlineLevel="2">
      <c r="A28" s="41">
        <v>40</v>
      </c>
      <c r="B28" s="26" t="s">
        <v>8</v>
      </c>
      <c r="C28" s="42"/>
      <c r="D28" s="54" t="s">
        <v>36</v>
      </c>
      <c r="E28" s="245" t="s">
        <v>479</v>
      </c>
      <c r="F28" s="21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48"/>
      <c r="AH28" s="21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45"/>
      <c r="AV28" s="21">
        <v>5000000</v>
      </c>
      <c r="AW28" s="29"/>
      <c r="AX28" s="29"/>
      <c r="AY28" s="29">
        <v>5000000</v>
      </c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>
        <v>5000000</v>
      </c>
      <c r="BK28" s="29"/>
      <c r="BL28" s="29"/>
      <c r="BM28" s="29">
        <v>5000000</v>
      </c>
      <c r="BN28" s="29"/>
      <c r="BO28" s="29"/>
      <c r="BP28" s="29"/>
      <c r="BQ28" s="29"/>
      <c r="BR28" s="29"/>
      <c r="BS28" s="29"/>
      <c r="BT28" s="29"/>
      <c r="BU28" s="29"/>
      <c r="BV28" s="29"/>
      <c r="BW28" s="48"/>
      <c r="BX28" s="21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48"/>
    </row>
    <row r="29" spans="1:103" ht="19.5" customHeight="1" outlineLevel="2">
      <c r="A29" s="41">
        <v>40</v>
      </c>
      <c r="B29" s="26" t="s">
        <v>8</v>
      </c>
      <c r="C29" s="42"/>
      <c r="D29" s="54" t="s">
        <v>36</v>
      </c>
      <c r="E29" s="54" t="s">
        <v>37</v>
      </c>
      <c r="F29" s="21">
        <v>4625000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4625000</v>
      </c>
      <c r="Q29" s="29">
        <v>0</v>
      </c>
      <c r="R29" s="29">
        <v>0</v>
      </c>
      <c r="S29" s="29">
        <v>0</v>
      </c>
      <c r="T29" s="29">
        <v>10000000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10000000</v>
      </c>
      <c r="AE29" s="29">
        <v>0</v>
      </c>
      <c r="AF29" s="29">
        <v>0</v>
      </c>
      <c r="AG29" s="48"/>
      <c r="AH29" s="21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45">
        <v>0</v>
      </c>
      <c r="AV29" s="21">
        <v>5000000</v>
      </c>
      <c r="AW29" s="29"/>
      <c r="AX29" s="29"/>
      <c r="AY29" s="29"/>
      <c r="AZ29" s="29"/>
      <c r="BA29" s="29"/>
      <c r="BB29" s="29"/>
      <c r="BC29" s="29"/>
      <c r="BD29" s="29"/>
      <c r="BE29" s="29"/>
      <c r="BF29" s="29">
        <v>5000000</v>
      </c>
      <c r="BG29" s="29"/>
      <c r="BH29" s="29"/>
      <c r="BI29" s="29"/>
      <c r="BJ29" s="29">
        <v>5000000</v>
      </c>
      <c r="BK29" s="29"/>
      <c r="BL29" s="29"/>
      <c r="BM29" s="29"/>
      <c r="BN29" s="29"/>
      <c r="BO29" s="29"/>
      <c r="BP29" s="29"/>
      <c r="BQ29" s="29"/>
      <c r="BR29" s="29"/>
      <c r="BS29" s="29"/>
      <c r="BT29" s="29">
        <v>5000000</v>
      </c>
      <c r="BU29" s="29"/>
      <c r="BV29" s="29"/>
      <c r="BW29" s="48"/>
      <c r="BX29" s="21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48"/>
    </row>
    <row r="30" spans="1:103" s="32" customFormat="1" ht="19.5" customHeight="1">
      <c r="A30" s="41">
        <v>6</v>
      </c>
      <c r="B30" s="55" t="s">
        <v>38</v>
      </c>
      <c r="C30" s="55"/>
      <c r="D30" s="56"/>
      <c r="E30" s="56"/>
      <c r="F30" s="28">
        <v>1300253985</v>
      </c>
      <c r="G30" s="28">
        <v>87500000</v>
      </c>
      <c r="H30" s="28">
        <v>90000000</v>
      </c>
      <c r="I30" s="28">
        <v>96642900</v>
      </c>
      <c r="J30" s="28">
        <v>115500000</v>
      </c>
      <c r="K30" s="28">
        <v>99500000</v>
      </c>
      <c r="L30" s="28">
        <v>109722200</v>
      </c>
      <c r="M30" s="28">
        <v>102500000</v>
      </c>
      <c r="N30" s="28">
        <v>131277777</v>
      </c>
      <c r="O30" s="28">
        <v>115277777</v>
      </c>
      <c r="P30" s="28">
        <v>117777777</v>
      </c>
      <c r="Q30" s="28">
        <v>115277777</v>
      </c>
      <c r="R30" s="28">
        <v>119277777</v>
      </c>
      <c r="S30" s="28">
        <v>0</v>
      </c>
      <c r="T30" s="28">
        <v>1123500000</v>
      </c>
      <c r="U30" s="28">
        <v>87500000</v>
      </c>
      <c r="V30" s="28">
        <v>90000000</v>
      </c>
      <c r="W30" s="28">
        <v>87500000</v>
      </c>
      <c r="X30" s="28">
        <v>103500000</v>
      </c>
      <c r="Y30" s="28">
        <v>92000000</v>
      </c>
      <c r="Z30" s="28">
        <v>87500000</v>
      </c>
      <c r="AA30" s="28">
        <v>87500000</v>
      </c>
      <c r="AB30" s="28">
        <v>87500000</v>
      </c>
      <c r="AC30" s="28">
        <v>103500000</v>
      </c>
      <c r="AD30" s="28">
        <v>90000000</v>
      </c>
      <c r="AE30" s="28">
        <v>87500000</v>
      </c>
      <c r="AF30" s="28">
        <v>119500000</v>
      </c>
      <c r="AG30" s="57"/>
      <c r="AH30" s="28">
        <v>1181356444</v>
      </c>
      <c r="AI30" s="28">
        <v>91025000</v>
      </c>
      <c r="AJ30" s="28">
        <v>93725000</v>
      </c>
      <c r="AK30" s="28">
        <v>93725000</v>
      </c>
      <c r="AL30" s="28">
        <v>89725000</v>
      </c>
      <c r="AM30" s="28">
        <v>94169444</v>
      </c>
      <c r="AN30" s="28">
        <v>89725000</v>
      </c>
      <c r="AO30" s="28">
        <v>94812000</v>
      </c>
      <c r="AP30" s="28">
        <v>134725000</v>
      </c>
      <c r="AQ30" s="28">
        <v>102725000</v>
      </c>
      <c r="AR30" s="28">
        <v>90000000</v>
      </c>
      <c r="AS30" s="28">
        <v>87500000</v>
      </c>
      <c r="AT30" s="28">
        <v>119500000</v>
      </c>
      <c r="AU30" s="31"/>
      <c r="AV30" s="28">
        <v>1393333324</v>
      </c>
      <c r="AW30" s="28">
        <v>117777777</v>
      </c>
      <c r="AX30" s="28">
        <v>114777777</v>
      </c>
      <c r="AY30" s="28">
        <v>113777777</v>
      </c>
      <c r="AZ30" s="28">
        <v>117777777</v>
      </c>
      <c r="BA30" s="28">
        <v>123777777</v>
      </c>
      <c r="BB30" s="28">
        <v>113777777</v>
      </c>
      <c r="BC30" s="28">
        <v>113777777</v>
      </c>
      <c r="BD30" s="28">
        <v>117777777</v>
      </c>
      <c r="BE30" s="28">
        <v>113777777</v>
      </c>
      <c r="BF30" s="28">
        <v>114777777</v>
      </c>
      <c r="BG30" s="28">
        <v>113777777</v>
      </c>
      <c r="BH30" s="28">
        <v>117777777</v>
      </c>
      <c r="BI30" s="28"/>
      <c r="BJ30" s="28">
        <v>1393333324</v>
      </c>
      <c r="BK30" s="28">
        <v>117777777</v>
      </c>
      <c r="BL30" s="28">
        <v>114777777</v>
      </c>
      <c r="BM30" s="28">
        <v>113777777</v>
      </c>
      <c r="BN30" s="28">
        <v>117777777</v>
      </c>
      <c r="BO30" s="28">
        <v>123777777</v>
      </c>
      <c r="BP30" s="28">
        <v>113777777</v>
      </c>
      <c r="BQ30" s="28">
        <v>113777777</v>
      </c>
      <c r="BR30" s="28">
        <v>117777777</v>
      </c>
      <c r="BS30" s="28">
        <v>113777777</v>
      </c>
      <c r="BT30" s="28">
        <v>114777777</v>
      </c>
      <c r="BU30" s="28">
        <v>113777777</v>
      </c>
      <c r="BV30" s="28">
        <v>117777777</v>
      </c>
      <c r="BW30" s="57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57"/>
    </row>
    <row r="31" spans="1:103" s="40" customFormat="1" ht="30.75" customHeight="1" outlineLevel="1">
      <c r="A31" s="41"/>
      <c r="B31" s="55" t="s">
        <v>38</v>
      </c>
      <c r="C31" s="34" t="s">
        <v>39</v>
      </c>
      <c r="D31" s="58"/>
      <c r="E31" s="58" t="s">
        <v>39</v>
      </c>
      <c r="F31" s="36">
        <v>960000000</v>
      </c>
      <c r="G31" s="29">
        <v>80000000</v>
      </c>
      <c r="H31" s="29">
        <v>80000000</v>
      </c>
      <c r="I31" s="29">
        <v>80000000</v>
      </c>
      <c r="J31" s="29">
        <v>80000000</v>
      </c>
      <c r="K31" s="29">
        <v>80000000</v>
      </c>
      <c r="L31" s="29">
        <v>80000000</v>
      </c>
      <c r="M31" s="29">
        <v>80000000</v>
      </c>
      <c r="N31" s="29">
        <v>80000000</v>
      </c>
      <c r="O31" s="29">
        <v>80000000</v>
      </c>
      <c r="P31" s="29">
        <v>80000000</v>
      </c>
      <c r="Q31" s="29">
        <v>80000000</v>
      </c>
      <c r="R31" s="29">
        <v>80000000</v>
      </c>
      <c r="S31" s="29">
        <v>0</v>
      </c>
      <c r="T31" s="36">
        <v>960000000</v>
      </c>
      <c r="U31" s="37">
        <v>80000000</v>
      </c>
      <c r="V31" s="37">
        <v>80000000</v>
      </c>
      <c r="W31" s="37">
        <v>80000000</v>
      </c>
      <c r="X31" s="37">
        <v>80000000</v>
      </c>
      <c r="Y31" s="37">
        <v>80000000</v>
      </c>
      <c r="Z31" s="37">
        <v>80000000</v>
      </c>
      <c r="AA31" s="37">
        <v>80000000</v>
      </c>
      <c r="AB31" s="37">
        <v>80000000</v>
      </c>
      <c r="AC31" s="37">
        <v>80000000</v>
      </c>
      <c r="AD31" s="37">
        <v>80000000</v>
      </c>
      <c r="AE31" s="37">
        <v>80000000</v>
      </c>
      <c r="AF31" s="37">
        <v>80000000</v>
      </c>
      <c r="AG31" s="59"/>
      <c r="AH31" s="36">
        <v>960000000</v>
      </c>
      <c r="AI31" s="37">
        <v>80000000</v>
      </c>
      <c r="AJ31" s="37">
        <v>80000000</v>
      </c>
      <c r="AK31" s="37">
        <v>80000000</v>
      </c>
      <c r="AL31" s="37">
        <v>80000000</v>
      </c>
      <c r="AM31" s="37">
        <v>80000000</v>
      </c>
      <c r="AN31" s="37">
        <v>80000000</v>
      </c>
      <c r="AO31" s="37">
        <v>80000000</v>
      </c>
      <c r="AP31" s="37">
        <v>80000000</v>
      </c>
      <c r="AQ31" s="37">
        <v>80000000</v>
      </c>
      <c r="AR31" s="37">
        <v>80000000</v>
      </c>
      <c r="AS31" s="37">
        <v>80000000</v>
      </c>
      <c r="AT31" s="37">
        <v>80000000</v>
      </c>
      <c r="AU31" s="39"/>
      <c r="AV31" s="36">
        <v>960000000</v>
      </c>
      <c r="AW31" s="29">
        <v>80000000</v>
      </c>
      <c r="AX31" s="29">
        <v>80000000</v>
      </c>
      <c r="AY31" s="29">
        <v>80000000</v>
      </c>
      <c r="AZ31" s="29">
        <v>80000000</v>
      </c>
      <c r="BA31" s="29">
        <v>80000000</v>
      </c>
      <c r="BB31" s="29">
        <v>80000000</v>
      </c>
      <c r="BC31" s="29">
        <v>80000000</v>
      </c>
      <c r="BD31" s="29">
        <v>80000000</v>
      </c>
      <c r="BE31" s="29">
        <v>80000000</v>
      </c>
      <c r="BF31" s="29">
        <v>80000000</v>
      </c>
      <c r="BG31" s="29">
        <v>80000000</v>
      </c>
      <c r="BH31" s="29">
        <v>80000000</v>
      </c>
      <c r="BI31" s="29"/>
      <c r="BJ31" s="36">
        <v>960000000</v>
      </c>
      <c r="BK31" s="37">
        <v>80000000</v>
      </c>
      <c r="BL31" s="37">
        <v>80000000</v>
      </c>
      <c r="BM31" s="37">
        <v>80000000</v>
      </c>
      <c r="BN31" s="37">
        <v>80000000</v>
      </c>
      <c r="BO31" s="37">
        <v>80000000</v>
      </c>
      <c r="BP31" s="37">
        <v>80000000</v>
      </c>
      <c r="BQ31" s="37">
        <v>80000000</v>
      </c>
      <c r="BR31" s="37">
        <v>80000000</v>
      </c>
      <c r="BS31" s="37">
        <v>80000000</v>
      </c>
      <c r="BT31" s="37">
        <v>80000000</v>
      </c>
      <c r="BU31" s="37">
        <v>80000000</v>
      </c>
      <c r="BV31" s="37">
        <v>80000000</v>
      </c>
      <c r="BW31" s="59"/>
      <c r="BX31" s="36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36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59"/>
    </row>
    <row r="32" spans="1:103" s="40" customFormat="1" ht="37.5" customHeight="1" outlineLevel="1">
      <c r="A32" s="41"/>
      <c r="B32" s="55" t="s">
        <v>38</v>
      </c>
      <c r="C32" s="34" t="s">
        <v>40</v>
      </c>
      <c r="E32" s="58" t="s">
        <v>40</v>
      </c>
      <c r="F32" s="36">
        <v>41000000</v>
      </c>
      <c r="G32" s="29">
        <v>0</v>
      </c>
      <c r="H32" s="29">
        <v>2500000</v>
      </c>
      <c r="I32" s="29">
        <v>0</v>
      </c>
      <c r="J32" s="29">
        <v>16000000</v>
      </c>
      <c r="K32" s="29">
        <v>0</v>
      </c>
      <c r="L32" s="29">
        <v>0</v>
      </c>
      <c r="M32" s="29">
        <v>0</v>
      </c>
      <c r="N32" s="29">
        <v>16000000</v>
      </c>
      <c r="O32" s="29">
        <v>0</v>
      </c>
      <c r="P32" s="29">
        <v>2500000</v>
      </c>
      <c r="Q32" s="29">
        <v>0</v>
      </c>
      <c r="R32" s="29">
        <v>4000000</v>
      </c>
      <c r="S32" s="29">
        <v>0</v>
      </c>
      <c r="T32" s="36">
        <v>69000000</v>
      </c>
      <c r="U32" s="37"/>
      <c r="V32" s="37">
        <v>2500000</v>
      </c>
      <c r="W32" s="37"/>
      <c r="X32" s="37">
        <v>16000000</v>
      </c>
      <c r="Y32" s="37"/>
      <c r="Z32" s="37"/>
      <c r="AA32" s="37"/>
      <c r="AB32" s="37"/>
      <c r="AC32" s="37">
        <v>16000000</v>
      </c>
      <c r="AD32" s="37">
        <v>2500000</v>
      </c>
      <c r="AE32" s="37"/>
      <c r="AF32" s="37">
        <v>32000000</v>
      </c>
      <c r="AG32" s="58" t="s">
        <v>41</v>
      </c>
      <c r="AH32" s="36">
        <v>66500000</v>
      </c>
      <c r="AI32" s="37"/>
      <c r="AJ32" s="37"/>
      <c r="AK32" s="37"/>
      <c r="AL32" s="37"/>
      <c r="AM32" s="37"/>
      <c r="AN32" s="37"/>
      <c r="AO32" s="37"/>
      <c r="AP32" s="37">
        <v>32000000</v>
      </c>
      <c r="AQ32" s="37"/>
      <c r="AR32" s="37">
        <v>2500000</v>
      </c>
      <c r="AS32" s="37"/>
      <c r="AT32" s="37">
        <v>32000000</v>
      </c>
      <c r="AU32" s="60" t="s">
        <v>42</v>
      </c>
      <c r="AV32" s="36">
        <v>18000000</v>
      </c>
      <c r="AW32" s="29">
        <v>4000000</v>
      </c>
      <c r="AX32" s="29">
        <v>1000000</v>
      </c>
      <c r="AY32" s="29">
        <v>0</v>
      </c>
      <c r="AZ32" s="29">
        <v>4000000</v>
      </c>
      <c r="BA32" s="29">
        <v>0</v>
      </c>
      <c r="BB32" s="29">
        <v>0</v>
      </c>
      <c r="BC32" s="29">
        <v>0</v>
      </c>
      <c r="BD32" s="29">
        <v>4000000</v>
      </c>
      <c r="BE32" s="29">
        <v>0</v>
      </c>
      <c r="BF32" s="29">
        <v>1000000</v>
      </c>
      <c r="BG32" s="29">
        <v>0</v>
      </c>
      <c r="BH32" s="29">
        <v>4000000</v>
      </c>
      <c r="BI32" s="29"/>
      <c r="BJ32" s="36">
        <v>18000000</v>
      </c>
      <c r="BK32" s="37">
        <v>4000000</v>
      </c>
      <c r="BL32" s="37">
        <v>1000000</v>
      </c>
      <c r="BM32" s="37">
        <v>0</v>
      </c>
      <c r="BN32" s="37">
        <v>4000000</v>
      </c>
      <c r="BO32" s="37">
        <v>0</v>
      </c>
      <c r="BP32" s="37">
        <v>0</v>
      </c>
      <c r="BQ32" s="37">
        <v>0</v>
      </c>
      <c r="BR32" s="37">
        <v>4000000</v>
      </c>
      <c r="BS32" s="37">
        <v>0</v>
      </c>
      <c r="BT32" s="37">
        <v>1000000</v>
      </c>
      <c r="BU32" s="37">
        <v>0</v>
      </c>
      <c r="BV32" s="37">
        <v>4000000</v>
      </c>
      <c r="BW32" s="58"/>
      <c r="BX32" s="36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36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58"/>
    </row>
    <row r="33" spans="1:103" s="40" customFormat="1" ht="30.75" customHeight="1" outlineLevel="1">
      <c r="A33" s="41"/>
      <c r="B33" s="55" t="s">
        <v>38</v>
      </c>
      <c r="C33" s="34" t="s">
        <v>43</v>
      </c>
      <c r="D33" s="58"/>
      <c r="E33" s="58" t="s">
        <v>43</v>
      </c>
      <c r="F33" s="36">
        <v>299253985</v>
      </c>
      <c r="G33" s="29">
        <v>7500000</v>
      </c>
      <c r="H33" s="29">
        <v>7500000</v>
      </c>
      <c r="I33" s="29">
        <v>16642900</v>
      </c>
      <c r="J33" s="29">
        <v>19500000</v>
      </c>
      <c r="K33" s="29">
        <v>19500000</v>
      </c>
      <c r="L33" s="29">
        <v>29722200</v>
      </c>
      <c r="M33" s="29">
        <v>22500000</v>
      </c>
      <c r="N33" s="29">
        <v>35277777</v>
      </c>
      <c r="O33" s="29">
        <v>35277777</v>
      </c>
      <c r="P33" s="29">
        <v>35277777</v>
      </c>
      <c r="Q33" s="29">
        <v>35277777</v>
      </c>
      <c r="R33" s="29">
        <v>35277777</v>
      </c>
      <c r="S33" s="29">
        <v>0</v>
      </c>
      <c r="T33" s="36">
        <v>94500000</v>
      </c>
      <c r="U33" s="37">
        <v>7500000</v>
      </c>
      <c r="V33" s="37">
        <v>7500000</v>
      </c>
      <c r="W33" s="37">
        <v>7500000</v>
      </c>
      <c r="X33" s="37">
        <v>7500000</v>
      </c>
      <c r="Y33" s="37">
        <v>12000000</v>
      </c>
      <c r="Z33" s="37">
        <v>7500000</v>
      </c>
      <c r="AA33" s="37">
        <v>7500000</v>
      </c>
      <c r="AB33" s="37">
        <v>7500000</v>
      </c>
      <c r="AC33" s="37">
        <v>7500000</v>
      </c>
      <c r="AD33" s="37">
        <v>7500000</v>
      </c>
      <c r="AE33" s="37">
        <v>7500000</v>
      </c>
      <c r="AF33" s="37">
        <v>7500000</v>
      </c>
      <c r="AG33" s="59" t="s">
        <v>44</v>
      </c>
      <c r="AH33" s="36">
        <v>154856444</v>
      </c>
      <c r="AI33" s="37">
        <v>11025000</v>
      </c>
      <c r="AJ33" s="37">
        <v>13725000</v>
      </c>
      <c r="AK33" s="37">
        <v>13725000</v>
      </c>
      <c r="AL33" s="37">
        <v>9725000</v>
      </c>
      <c r="AM33" s="37">
        <v>14169444</v>
      </c>
      <c r="AN33" s="37">
        <v>9725000</v>
      </c>
      <c r="AO33" s="37">
        <v>14812000</v>
      </c>
      <c r="AP33" s="37">
        <v>22725000</v>
      </c>
      <c r="AQ33" s="37">
        <v>22725000</v>
      </c>
      <c r="AR33" s="37">
        <v>7500000</v>
      </c>
      <c r="AS33" s="37">
        <v>7500000</v>
      </c>
      <c r="AT33" s="37">
        <v>7500000</v>
      </c>
      <c r="AU33" s="39"/>
      <c r="AV33" s="36">
        <v>415333324</v>
      </c>
      <c r="AW33" s="29">
        <v>33777777</v>
      </c>
      <c r="AX33" s="29">
        <v>33777777</v>
      </c>
      <c r="AY33" s="29">
        <v>33777777</v>
      </c>
      <c r="AZ33" s="29">
        <v>33777777</v>
      </c>
      <c r="BA33" s="29">
        <v>43777777</v>
      </c>
      <c r="BB33" s="29">
        <v>33777777</v>
      </c>
      <c r="BC33" s="29">
        <v>33777777</v>
      </c>
      <c r="BD33" s="29">
        <v>33777777</v>
      </c>
      <c r="BE33" s="29">
        <v>33777777</v>
      </c>
      <c r="BF33" s="29">
        <v>33777777</v>
      </c>
      <c r="BG33" s="29">
        <v>33777777</v>
      </c>
      <c r="BH33" s="29">
        <v>33777777</v>
      </c>
      <c r="BI33" s="29"/>
      <c r="BJ33" s="36">
        <v>415333324</v>
      </c>
      <c r="BK33" s="37">
        <v>33777777</v>
      </c>
      <c r="BL33" s="37">
        <v>33777777</v>
      </c>
      <c r="BM33" s="37">
        <v>33777777</v>
      </c>
      <c r="BN33" s="37">
        <v>33777777</v>
      </c>
      <c r="BO33" s="37">
        <v>43777777</v>
      </c>
      <c r="BP33" s="37">
        <v>33777777</v>
      </c>
      <c r="BQ33" s="37">
        <v>33777777</v>
      </c>
      <c r="BR33" s="37">
        <v>33777777</v>
      </c>
      <c r="BS33" s="37">
        <v>33777777</v>
      </c>
      <c r="BT33" s="37">
        <v>33777777</v>
      </c>
      <c r="BU33" s="37">
        <v>33777777</v>
      </c>
      <c r="BV33" s="37">
        <v>33777777</v>
      </c>
      <c r="BW33" s="59"/>
      <c r="BX33" s="36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36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59"/>
    </row>
    <row r="34" spans="1:103" s="32" customFormat="1" ht="19.5" customHeight="1">
      <c r="A34" s="41"/>
      <c r="B34" s="61" t="s">
        <v>45</v>
      </c>
      <c r="C34" s="26"/>
      <c r="D34" s="27"/>
      <c r="E34" s="27"/>
      <c r="F34" s="28">
        <v>240793992</v>
      </c>
      <c r="G34" s="28">
        <v>17966452</v>
      </c>
      <c r="H34" s="28">
        <v>17966452</v>
      </c>
      <c r="I34" s="28">
        <v>18873952</v>
      </c>
      <c r="J34" s="28">
        <v>18518677</v>
      </c>
      <c r="K34" s="28">
        <v>18518675</v>
      </c>
      <c r="L34" s="28">
        <v>17920192</v>
      </c>
      <c r="M34" s="28">
        <v>32112643</v>
      </c>
      <c r="N34" s="28">
        <v>19590474</v>
      </c>
      <c r="O34" s="28">
        <v>18675474</v>
      </c>
      <c r="P34" s="28">
        <v>19590474</v>
      </c>
      <c r="Q34" s="28">
        <v>17272361</v>
      </c>
      <c r="R34" s="28">
        <v>23788166</v>
      </c>
      <c r="S34" s="28">
        <v>205181524</v>
      </c>
      <c r="T34" s="28">
        <v>196106524</v>
      </c>
      <c r="U34" s="28">
        <v>17966452</v>
      </c>
      <c r="V34" s="28">
        <v>17966452</v>
      </c>
      <c r="W34" s="28">
        <v>17966452</v>
      </c>
      <c r="X34" s="28">
        <v>16236177</v>
      </c>
      <c r="Y34" s="28">
        <v>16236175</v>
      </c>
      <c r="Z34" s="28">
        <v>16193248</v>
      </c>
      <c r="AA34" s="28">
        <v>16193259</v>
      </c>
      <c r="AB34" s="28">
        <v>15545420</v>
      </c>
      <c r="AC34" s="28">
        <v>15545420</v>
      </c>
      <c r="AD34" s="28">
        <v>15545420</v>
      </c>
      <c r="AE34" s="28">
        <v>15545417</v>
      </c>
      <c r="AF34" s="28">
        <v>15166632</v>
      </c>
      <c r="AG34" s="30"/>
      <c r="AH34" s="28">
        <v>1293995707</v>
      </c>
      <c r="AI34" s="28">
        <v>136217676</v>
      </c>
      <c r="AJ34" s="28">
        <v>135183176</v>
      </c>
      <c r="AK34" s="28">
        <v>128045843</v>
      </c>
      <c r="AL34" s="28">
        <v>128045843</v>
      </c>
      <c r="AM34" s="28">
        <v>128561429</v>
      </c>
      <c r="AN34" s="28">
        <v>126612434</v>
      </c>
      <c r="AO34" s="28">
        <v>126612434</v>
      </c>
      <c r="AP34" s="28">
        <v>126612434</v>
      </c>
      <c r="AQ34" s="28">
        <v>126612381</v>
      </c>
      <c r="AR34" s="28">
        <v>78673253</v>
      </c>
      <c r="AS34" s="28">
        <v>28945934</v>
      </c>
      <c r="AT34" s="28">
        <v>23872870</v>
      </c>
      <c r="AU34" s="31"/>
      <c r="AV34" s="28">
        <v>354631804</v>
      </c>
      <c r="AW34" s="28">
        <v>30320474</v>
      </c>
      <c r="AX34" s="28">
        <v>30320461</v>
      </c>
      <c r="AY34" s="28">
        <v>30320461</v>
      </c>
      <c r="AZ34" s="28">
        <v>30320461</v>
      </c>
      <c r="BA34" s="28">
        <v>29201016</v>
      </c>
      <c r="BB34" s="28">
        <v>29164133</v>
      </c>
      <c r="BC34" s="28">
        <v>29164133</v>
      </c>
      <c r="BD34" s="28">
        <v>29164133</v>
      </c>
      <c r="BE34" s="28">
        <v>29164133</v>
      </c>
      <c r="BF34" s="28">
        <v>29164133</v>
      </c>
      <c r="BG34" s="28">
        <v>29164133</v>
      </c>
      <c r="BH34" s="28">
        <v>29164133</v>
      </c>
      <c r="BI34" s="28"/>
      <c r="BJ34" s="28">
        <v>354631804</v>
      </c>
      <c r="BK34" s="28">
        <v>30320474</v>
      </c>
      <c r="BL34" s="28">
        <v>30320461</v>
      </c>
      <c r="BM34" s="28">
        <v>30320461</v>
      </c>
      <c r="BN34" s="28">
        <v>30320461</v>
      </c>
      <c r="BO34" s="28">
        <v>29201016</v>
      </c>
      <c r="BP34" s="28">
        <v>29164133</v>
      </c>
      <c r="BQ34" s="28">
        <v>29164133</v>
      </c>
      <c r="BR34" s="28">
        <v>29164133</v>
      </c>
      <c r="BS34" s="28">
        <v>29164133</v>
      </c>
      <c r="BT34" s="28">
        <v>29164133</v>
      </c>
      <c r="BU34" s="28">
        <v>29164133</v>
      </c>
      <c r="BV34" s="28">
        <v>29164133</v>
      </c>
      <c r="BW34" s="30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30"/>
    </row>
    <row r="35" spans="1:103" s="71" customFormat="1" ht="41.25" customHeight="1" outlineLevel="1">
      <c r="A35" s="62">
        <v>9</v>
      </c>
      <c r="B35" s="61" t="s">
        <v>45</v>
      </c>
      <c r="C35" s="63" t="s">
        <v>46</v>
      </c>
      <c r="D35" s="64"/>
      <c r="E35" s="65" t="s">
        <v>46</v>
      </c>
      <c r="F35" s="66">
        <v>92431678</v>
      </c>
      <c r="G35" s="230">
        <v>7208725</v>
      </c>
      <c r="H35" s="67">
        <v>7208725</v>
      </c>
      <c r="I35" s="67">
        <v>8116225</v>
      </c>
      <c r="J35" s="67">
        <v>6385950</v>
      </c>
      <c r="K35" s="67">
        <v>6385948</v>
      </c>
      <c r="L35" s="67">
        <v>5787465</v>
      </c>
      <c r="M35" s="231">
        <v>19979916</v>
      </c>
      <c r="N35" s="231">
        <v>7457747</v>
      </c>
      <c r="O35" s="231">
        <v>6542747</v>
      </c>
      <c r="P35" s="67">
        <v>7457747</v>
      </c>
      <c r="Q35" s="67">
        <v>5139634</v>
      </c>
      <c r="R35" s="67">
        <v>4760849</v>
      </c>
      <c r="S35" s="67">
        <v>76088800</v>
      </c>
      <c r="T35" s="66">
        <v>67013800</v>
      </c>
      <c r="U35" s="68">
        <v>7208725</v>
      </c>
      <c r="V35" s="68">
        <v>7208725</v>
      </c>
      <c r="W35" s="68">
        <v>7208725</v>
      </c>
      <c r="X35" s="68">
        <v>5478450</v>
      </c>
      <c r="Y35" s="68">
        <v>5478448</v>
      </c>
      <c r="Z35" s="68">
        <v>5435521</v>
      </c>
      <c r="AA35" s="68">
        <v>5435532</v>
      </c>
      <c r="AB35" s="68">
        <v>4787693</v>
      </c>
      <c r="AC35" s="68">
        <v>4787693</v>
      </c>
      <c r="AD35" s="68">
        <v>4787693</v>
      </c>
      <c r="AE35" s="68">
        <v>4787690</v>
      </c>
      <c r="AF35" s="68">
        <v>4408905</v>
      </c>
      <c r="AG35" s="69" t="s">
        <v>47</v>
      </c>
      <c r="AH35" s="66">
        <v>169684709</v>
      </c>
      <c r="AI35" s="68">
        <v>15437374</v>
      </c>
      <c r="AJ35" s="68">
        <v>15357824</v>
      </c>
      <c r="AK35" s="68">
        <v>16178279</v>
      </c>
      <c r="AL35" s="68">
        <v>16178279</v>
      </c>
      <c r="AM35" s="68">
        <v>16693865</v>
      </c>
      <c r="AN35" s="68">
        <v>14744870</v>
      </c>
      <c r="AO35" s="68">
        <v>14744870</v>
      </c>
      <c r="AP35" s="68">
        <v>14744870</v>
      </c>
      <c r="AQ35" s="68">
        <v>14744825</v>
      </c>
      <c r="AR35" s="68">
        <v>12091003</v>
      </c>
      <c r="AS35" s="68">
        <v>11855193</v>
      </c>
      <c r="AT35" s="68">
        <v>6913457</v>
      </c>
      <c r="AU35" s="70"/>
      <c r="AV35" s="66">
        <v>58169236</v>
      </c>
      <c r="AW35" s="230">
        <v>5615260</v>
      </c>
      <c r="AX35" s="67">
        <v>5615247</v>
      </c>
      <c r="AY35" s="67">
        <v>5615247</v>
      </c>
      <c r="AZ35" s="67">
        <v>5615247</v>
      </c>
      <c r="BA35" s="67">
        <v>4495802</v>
      </c>
      <c r="BB35" s="67">
        <v>4458919</v>
      </c>
      <c r="BC35" s="231">
        <v>4458919</v>
      </c>
      <c r="BD35" s="231">
        <v>4458919</v>
      </c>
      <c r="BE35" s="231">
        <v>4458919</v>
      </c>
      <c r="BF35" s="67">
        <v>4458919</v>
      </c>
      <c r="BG35" s="67">
        <v>4458919</v>
      </c>
      <c r="BH35" s="67">
        <v>4458919</v>
      </c>
      <c r="BI35" s="67"/>
      <c r="BJ35" s="66">
        <v>58169236</v>
      </c>
      <c r="BK35" s="68">
        <v>5615260</v>
      </c>
      <c r="BL35" s="68">
        <v>5615247</v>
      </c>
      <c r="BM35" s="68">
        <v>5615247</v>
      </c>
      <c r="BN35" s="68">
        <v>5615247</v>
      </c>
      <c r="BO35" s="68">
        <v>4495802</v>
      </c>
      <c r="BP35" s="68">
        <v>4458919</v>
      </c>
      <c r="BQ35" s="68">
        <v>4458919</v>
      </c>
      <c r="BR35" s="68">
        <v>4458919</v>
      </c>
      <c r="BS35" s="68">
        <v>4458919</v>
      </c>
      <c r="BT35" s="68">
        <v>4458919</v>
      </c>
      <c r="BU35" s="68">
        <v>4458919</v>
      </c>
      <c r="BV35" s="68">
        <v>4458919</v>
      </c>
      <c r="BW35" s="69"/>
      <c r="BX35" s="66"/>
      <c r="BY35" s="230"/>
      <c r="BZ35" s="67"/>
      <c r="CA35" s="67"/>
      <c r="CB35" s="67"/>
      <c r="CC35" s="67"/>
      <c r="CD35" s="67"/>
      <c r="CE35" s="231"/>
      <c r="CF35" s="231"/>
      <c r="CG35" s="231"/>
      <c r="CH35" s="67"/>
      <c r="CI35" s="67"/>
      <c r="CJ35" s="67"/>
      <c r="CK35" s="67"/>
      <c r="CL35" s="66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9"/>
    </row>
    <row r="36" spans="1:103" s="71" customFormat="1" ht="19.5" customHeight="1" outlineLevel="1">
      <c r="A36" s="62">
        <v>10</v>
      </c>
      <c r="B36" s="61" t="s">
        <v>45</v>
      </c>
      <c r="C36" s="63" t="s">
        <v>48</v>
      </c>
      <c r="D36" s="64"/>
      <c r="E36" s="65" t="s">
        <v>48</v>
      </c>
      <c r="F36" s="66">
        <v>0</v>
      </c>
      <c r="G36" s="230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>
        <v>0</v>
      </c>
      <c r="Q36" s="67">
        <v>0</v>
      </c>
      <c r="R36" s="67">
        <v>0</v>
      </c>
      <c r="S36" s="67">
        <v>0</v>
      </c>
      <c r="T36" s="66">
        <v>0</v>
      </c>
      <c r="U36" s="68">
        <v>0</v>
      </c>
      <c r="V36" s="68">
        <v>0</v>
      </c>
      <c r="W36" s="68">
        <v>0</v>
      </c>
      <c r="X36" s="68">
        <v>0</v>
      </c>
      <c r="Y36" s="68">
        <v>0</v>
      </c>
      <c r="Z36" s="68">
        <v>0</v>
      </c>
      <c r="AA36" s="68">
        <v>0</v>
      </c>
      <c r="AB36" s="68">
        <v>0</v>
      </c>
      <c r="AC36" s="68">
        <v>0</v>
      </c>
      <c r="AD36" s="68">
        <v>0</v>
      </c>
      <c r="AE36" s="68">
        <v>0</v>
      </c>
      <c r="AF36" s="68">
        <v>0</v>
      </c>
      <c r="AG36" s="72" t="s">
        <v>49</v>
      </c>
      <c r="AH36" s="66">
        <v>948736415</v>
      </c>
      <c r="AI36" s="68">
        <v>98521837</v>
      </c>
      <c r="AJ36" s="68">
        <v>98521837</v>
      </c>
      <c r="AK36" s="68">
        <v>98521837</v>
      </c>
      <c r="AL36" s="68">
        <v>98521837</v>
      </c>
      <c r="AM36" s="68">
        <v>98521837</v>
      </c>
      <c r="AN36" s="68">
        <v>98521837</v>
      </c>
      <c r="AO36" s="68">
        <v>98521837</v>
      </c>
      <c r="AP36" s="68">
        <v>98521837</v>
      </c>
      <c r="AQ36" s="68">
        <v>98521829</v>
      </c>
      <c r="AR36" s="68">
        <v>53236523</v>
      </c>
      <c r="AS36" s="68">
        <v>4401681</v>
      </c>
      <c r="AT36" s="68">
        <v>4401686</v>
      </c>
      <c r="AU36" s="70"/>
      <c r="AV36" s="66">
        <v>0</v>
      </c>
      <c r="AW36" s="230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6">
        <v>0</v>
      </c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72"/>
      <c r="BX36" s="66"/>
      <c r="BY36" s="230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6"/>
      <c r="CM36" s="68"/>
      <c r="CN36" s="68"/>
      <c r="CO36" s="68"/>
      <c r="CP36" s="68"/>
      <c r="CQ36" s="68"/>
      <c r="CR36" s="68"/>
      <c r="CS36" s="68"/>
      <c r="CT36" s="68"/>
      <c r="CU36" s="68"/>
      <c r="CV36" s="68"/>
      <c r="CW36" s="68"/>
      <c r="CX36" s="68"/>
      <c r="CY36" s="72"/>
    </row>
    <row r="37" spans="1:103" s="71" customFormat="1" ht="19.5" customHeight="1" outlineLevel="1">
      <c r="A37" s="62">
        <v>11</v>
      </c>
      <c r="B37" s="61" t="s">
        <v>45</v>
      </c>
      <c r="C37" s="63" t="s">
        <v>50</v>
      </c>
      <c r="D37" s="64"/>
      <c r="E37" s="65" t="s">
        <v>50</v>
      </c>
      <c r="F37" s="66">
        <v>148362314</v>
      </c>
      <c r="G37" s="230">
        <v>10757727</v>
      </c>
      <c r="H37" s="67">
        <v>10757727</v>
      </c>
      <c r="I37" s="67">
        <v>10757727</v>
      </c>
      <c r="J37" s="67">
        <v>12132727</v>
      </c>
      <c r="K37" s="67">
        <v>12132727</v>
      </c>
      <c r="L37" s="67">
        <v>12132727</v>
      </c>
      <c r="M37" s="231">
        <v>12132727</v>
      </c>
      <c r="N37" s="231">
        <v>12132727</v>
      </c>
      <c r="O37" s="231">
        <v>12132727</v>
      </c>
      <c r="P37" s="67">
        <v>12132727</v>
      </c>
      <c r="Q37" s="67">
        <v>12132727</v>
      </c>
      <c r="R37" s="67">
        <v>19027317</v>
      </c>
      <c r="S37" s="67">
        <v>129092724</v>
      </c>
      <c r="T37" s="66">
        <v>129092724</v>
      </c>
      <c r="U37" s="68">
        <v>10757727</v>
      </c>
      <c r="V37" s="68">
        <v>10757727</v>
      </c>
      <c r="W37" s="68">
        <v>10757727</v>
      </c>
      <c r="X37" s="68">
        <v>10757727</v>
      </c>
      <c r="Y37" s="68">
        <v>10757727</v>
      </c>
      <c r="Z37" s="68">
        <v>10757727</v>
      </c>
      <c r="AA37" s="68">
        <v>10757727</v>
      </c>
      <c r="AB37" s="68">
        <v>10757727</v>
      </c>
      <c r="AC37" s="68">
        <v>10757727</v>
      </c>
      <c r="AD37" s="68">
        <v>10757727</v>
      </c>
      <c r="AE37" s="68">
        <v>10757727</v>
      </c>
      <c r="AF37" s="68">
        <v>10757727</v>
      </c>
      <c r="AG37" s="72" t="s">
        <v>51</v>
      </c>
      <c r="AH37" s="66">
        <v>175574583</v>
      </c>
      <c r="AI37" s="68">
        <v>22258465</v>
      </c>
      <c r="AJ37" s="68">
        <v>21303515</v>
      </c>
      <c r="AK37" s="68">
        <v>13345727</v>
      </c>
      <c r="AL37" s="68">
        <v>13345727</v>
      </c>
      <c r="AM37" s="68">
        <v>13345727</v>
      </c>
      <c r="AN37" s="68">
        <v>13345727</v>
      </c>
      <c r="AO37" s="68">
        <v>13345727</v>
      </c>
      <c r="AP37" s="68">
        <v>13345727</v>
      </c>
      <c r="AQ37" s="68">
        <v>13345727</v>
      </c>
      <c r="AR37" s="68">
        <v>13345727</v>
      </c>
      <c r="AS37" s="68">
        <v>12689060</v>
      </c>
      <c r="AT37" s="68">
        <v>12557727</v>
      </c>
      <c r="AU37" s="70"/>
      <c r="AV37" s="66">
        <v>296462568</v>
      </c>
      <c r="AW37" s="230">
        <v>24705214</v>
      </c>
      <c r="AX37" s="67">
        <v>24705214</v>
      </c>
      <c r="AY37" s="67">
        <v>24705214</v>
      </c>
      <c r="AZ37" s="67">
        <v>24705214</v>
      </c>
      <c r="BA37" s="67">
        <v>24705214</v>
      </c>
      <c r="BB37" s="67">
        <v>24705214</v>
      </c>
      <c r="BC37" s="231">
        <v>24705214</v>
      </c>
      <c r="BD37" s="231">
        <v>24705214</v>
      </c>
      <c r="BE37" s="231">
        <v>24705214</v>
      </c>
      <c r="BF37" s="67">
        <v>24705214</v>
      </c>
      <c r="BG37" s="67">
        <v>24705214</v>
      </c>
      <c r="BH37" s="67">
        <v>24705214</v>
      </c>
      <c r="BI37" s="67"/>
      <c r="BJ37" s="66">
        <v>296462568</v>
      </c>
      <c r="BK37" s="68">
        <v>24705214</v>
      </c>
      <c r="BL37" s="68">
        <v>24705214</v>
      </c>
      <c r="BM37" s="68">
        <v>24705214</v>
      </c>
      <c r="BN37" s="68">
        <v>24705214</v>
      </c>
      <c r="BO37" s="68">
        <v>24705214</v>
      </c>
      <c r="BP37" s="68">
        <v>24705214</v>
      </c>
      <c r="BQ37" s="68">
        <v>24705214</v>
      </c>
      <c r="BR37" s="68">
        <v>24705214</v>
      </c>
      <c r="BS37" s="68">
        <v>24705214</v>
      </c>
      <c r="BT37" s="68">
        <v>24705214</v>
      </c>
      <c r="BU37" s="68">
        <v>24705214</v>
      </c>
      <c r="BV37" s="68">
        <v>24705214</v>
      </c>
      <c r="BW37" s="72"/>
      <c r="BX37" s="66"/>
      <c r="BY37" s="230"/>
      <c r="BZ37" s="67"/>
      <c r="CA37" s="67"/>
      <c r="CB37" s="67"/>
      <c r="CC37" s="67"/>
      <c r="CD37" s="67"/>
      <c r="CE37" s="231"/>
      <c r="CF37" s="231"/>
      <c r="CG37" s="231"/>
      <c r="CH37" s="67"/>
      <c r="CI37" s="67"/>
      <c r="CJ37" s="67"/>
      <c r="CK37" s="67"/>
      <c r="CL37" s="66"/>
      <c r="CM37" s="68"/>
      <c r="CN37" s="68"/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72"/>
    </row>
    <row r="38" spans="1:103" s="32" customFormat="1" ht="19.5" customHeight="1">
      <c r="A38" s="41">
        <v>12</v>
      </c>
      <c r="B38" s="55" t="s">
        <v>52</v>
      </c>
      <c r="C38" s="55"/>
      <c r="D38" s="56"/>
      <c r="E38" s="56"/>
      <c r="F38" s="28">
        <v>32679058</v>
      </c>
      <c r="G38" s="28">
        <v>5924840</v>
      </c>
      <c r="H38" s="28">
        <v>1135856</v>
      </c>
      <c r="I38" s="28">
        <v>2077603</v>
      </c>
      <c r="J38" s="28">
        <v>6363126</v>
      </c>
      <c r="K38" s="28">
        <v>4241462</v>
      </c>
      <c r="L38" s="28">
        <v>1172118</v>
      </c>
      <c r="M38" s="28">
        <v>1236245</v>
      </c>
      <c r="N38" s="28">
        <v>1417678</v>
      </c>
      <c r="O38" s="28">
        <v>1384212</v>
      </c>
      <c r="P38" s="28">
        <v>1712738</v>
      </c>
      <c r="Q38" s="28">
        <v>1695336</v>
      </c>
      <c r="R38" s="28">
        <v>4317844</v>
      </c>
      <c r="S38" s="28">
        <v>0</v>
      </c>
      <c r="T38" s="28">
        <v>52000000</v>
      </c>
      <c r="U38" s="28">
        <v>8000000</v>
      </c>
      <c r="V38" s="28">
        <v>4000000</v>
      </c>
      <c r="W38" s="28">
        <v>4000000</v>
      </c>
      <c r="X38" s="28">
        <v>4000000</v>
      </c>
      <c r="Y38" s="28">
        <v>4000000</v>
      </c>
      <c r="Z38" s="28">
        <v>4000000</v>
      </c>
      <c r="AA38" s="28">
        <v>4000000</v>
      </c>
      <c r="AB38" s="28">
        <v>4000000</v>
      </c>
      <c r="AC38" s="28">
        <v>4000000</v>
      </c>
      <c r="AD38" s="28">
        <v>4000000</v>
      </c>
      <c r="AE38" s="28">
        <v>4000000</v>
      </c>
      <c r="AF38" s="28">
        <v>4000000</v>
      </c>
      <c r="AG38" s="57"/>
      <c r="AH38" s="28">
        <v>54217214</v>
      </c>
      <c r="AI38" s="28">
        <v>9681861</v>
      </c>
      <c r="AJ38" s="28">
        <v>6236012</v>
      </c>
      <c r="AK38" s="28">
        <v>5056223</v>
      </c>
      <c r="AL38" s="28">
        <v>7301830</v>
      </c>
      <c r="AM38" s="28">
        <v>7722474</v>
      </c>
      <c r="AN38" s="28">
        <v>3861464</v>
      </c>
      <c r="AO38" s="28">
        <v>1897076</v>
      </c>
      <c r="AP38" s="28">
        <v>2305928</v>
      </c>
      <c r="AQ38" s="28">
        <v>1556808</v>
      </c>
      <c r="AR38" s="28">
        <v>5000378</v>
      </c>
      <c r="AS38" s="28">
        <v>1913520</v>
      </c>
      <c r="AT38" s="28">
        <v>1683640</v>
      </c>
      <c r="AU38" s="31"/>
      <c r="AV38" s="28">
        <v>30000000</v>
      </c>
      <c r="AW38" s="28">
        <v>2500000</v>
      </c>
      <c r="AX38" s="28">
        <v>2500000</v>
      </c>
      <c r="AY38" s="28">
        <v>2500000</v>
      </c>
      <c r="AZ38" s="28">
        <v>2500000</v>
      </c>
      <c r="BA38" s="28">
        <v>2500000</v>
      </c>
      <c r="BB38" s="28">
        <v>2500000</v>
      </c>
      <c r="BC38" s="28">
        <v>2500000</v>
      </c>
      <c r="BD38" s="28">
        <v>2500000</v>
      </c>
      <c r="BE38" s="28">
        <v>2500000</v>
      </c>
      <c r="BF38" s="28">
        <v>2500000</v>
      </c>
      <c r="BG38" s="28">
        <v>2500000</v>
      </c>
      <c r="BH38" s="28">
        <v>2500000</v>
      </c>
      <c r="BI38" s="28"/>
      <c r="BJ38" s="28">
        <v>30000000</v>
      </c>
      <c r="BK38" s="28">
        <v>2500000</v>
      </c>
      <c r="BL38" s="28">
        <v>2500000</v>
      </c>
      <c r="BM38" s="28">
        <v>2500000</v>
      </c>
      <c r="BN38" s="28">
        <v>2500000</v>
      </c>
      <c r="BO38" s="28">
        <v>2500000</v>
      </c>
      <c r="BP38" s="28">
        <v>2500000</v>
      </c>
      <c r="BQ38" s="28">
        <v>2500000</v>
      </c>
      <c r="BR38" s="28">
        <v>2500000</v>
      </c>
      <c r="BS38" s="28">
        <v>2500000</v>
      </c>
      <c r="BT38" s="28">
        <v>2500000</v>
      </c>
      <c r="BU38" s="28">
        <v>2500000</v>
      </c>
      <c r="BV38" s="28">
        <v>2500000</v>
      </c>
      <c r="BW38" s="57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57"/>
    </row>
    <row r="39" spans="1:103" s="40" customFormat="1" ht="19.5" customHeight="1" outlineLevel="1">
      <c r="A39" s="41"/>
      <c r="B39" s="55" t="s">
        <v>52</v>
      </c>
      <c r="C39" s="73" t="s">
        <v>53</v>
      </c>
      <c r="D39" s="74"/>
      <c r="E39" s="75" t="s">
        <v>53</v>
      </c>
      <c r="F39" s="36">
        <v>28679058</v>
      </c>
      <c r="G39" s="29">
        <v>1924840</v>
      </c>
      <c r="H39" s="29">
        <v>1135856</v>
      </c>
      <c r="I39" s="29">
        <v>2077603</v>
      </c>
      <c r="J39" s="29">
        <v>6363126</v>
      </c>
      <c r="K39" s="29">
        <v>4241462</v>
      </c>
      <c r="L39" s="29">
        <v>1172118</v>
      </c>
      <c r="M39" s="29">
        <v>1236245</v>
      </c>
      <c r="N39" s="29">
        <v>1417678</v>
      </c>
      <c r="O39" s="29">
        <v>1384212</v>
      </c>
      <c r="P39" s="29">
        <v>1712738</v>
      </c>
      <c r="Q39" s="29">
        <v>1695336</v>
      </c>
      <c r="R39" s="29">
        <v>4317844</v>
      </c>
      <c r="S39" s="29">
        <v>0</v>
      </c>
      <c r="T39" s="36">
        <v>48000000</v>
      </c>
      <c r="U39" s="37">
        <v>4000000</v>
      </c>
      <c r="V39" s="37">
        <v>4000000</v>
      </c>
      <c r="W39" s="37">
        <v>4000000</v>
      </c>
      <c r="X39" s="37">
        <v>4000000</v>
      </c>
      <c r="Y39" s="37">
        <v>4000000</v>
      </c>
      <c r="Z39" s="37">
        <v>4000000</v>
      </c>
      <c r="AA39" s="37">
        <v>4000000</v>
      </c>
      <c r="AB39" s="37">
        <v>4000000</v>
      </c>
      <c r="AC39" s="37">
        <v>4000000</v>
      </c>
      <c r="AD39" s="37">
        <v>4000000</v>
      </c>
      <c r="AE39" s="37">
        <v>4000000</v>
      </c>
      <c r="AF39" s="37">
        <v>4000000</v>
      </c>
      <c r="AG39" s="59"/>
      <c r="AH39" s="36">
        <v>50217214</v>
      </c>
      <c r="AI39" s="37">
        <v>5681861</v>
      </c>
      <c r="AJ39" s="37">
        <v>6236012</v>
      </c>
      <c r="AK39" s="37">
        <v>5056223</v>
      </c>
      <c r="AL39" s="37">
        <v>7301830</v>
      </c>
      <c r="AM39" s="37">
        <v>7722474</v>
      </c>
      <c r="AN39" s="37">
        <v>3861464</v>
      </c>
      <c r="AO39" s="37">
        <v>1897076</v>
      </c>
      <c r="AP39" s="37">
        <v>2305928</v>
      </c>
      <c r="AQ39" s="37">
        <v>1556808</v>
      </c>
      <c r="AR39" s="37">
        <v>5000378</v>
      </c>
      <c r="AS39" s="37">
        <v>1913520</v>
      </c>
      <c r="AT39" s="37">
        <v>1683640</v>
      </c>
      <c r="AU39" s="39"/>
      <c r="AV39" s="36">
        <v>30000000</v>
      </c>
      <c r="AW39" s="29">
        <v>2500000</v>
      </c>
      <c r="AX39" s="29">
        <v>2500000</v>
      </c>
      <c r="AY39" s="29">
        <v>2500000</v>
      </c>
      <c r="AZ39" s="29">
        <v>2500000</v>
      </c>
      <c r="BA39" s="29">
        <v>2500000</v>
      </c>
      <c r="BB39" s="29">
        <v>2500000</v>
      </c>
      <c r="BC39" s="29">
        <v>2500000</v>
      </c>
      <c r="BD39" s="29">
        <v>2500000</v>
      </c>
      <c r="BE39" s="29">
        <v>2500000</v>
      </c>
      <c r="BF39" s="29">
        <v>2500000</v>
      </c>
      <c r="BG39" s="29">
        <v>2500000</v>
      </c>
      <c r="BH39" s="29">
        <v>2500000</v>
      </c>
      <c r="BI39" s="29"/>
      <c r="BJ39" s="36">
        <v>30000000</v>
      </c>
      <c r="BK39" s="37">
        <v>2500000</v>
      </c>
      <c r="BL39" s="37">
        <v>2500000</v>
      </c>
      <c r="BM39" s="37">
        <v>2500000</v>
      </c>
      <c r="BN39" s="37">
        <v>2500000</v>
      </c>
      <c r="BO39" s="37">
        <v>2500000</v>
      </c>
      <c r="BP39" s="37">
        <v>2500000</v>
      </c>
      <c r="BQ39" s="37">
        <v>2500000</v>
      </c>
      <c r="BR39" s="37">
        <v>2500000</v>
      </c>
      <c r="BS39" s="37">
        <v>2500000</v>
      </c>
      <c r="BT39" s="37">
        <v>2500000</v>
      </c>
      <c r="BU39" s="37">
        <v>2500000</v>
      </c>
      <c r="BV39" s="37">
        <v>2500000</v>
      </c>
      <c r="BW39" s="59"/>
      <c r="BX39" s="36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36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59"/>
    </row>
    <row r="40" spans="1:103" s="40" customFormat="1" ht="19.5" customHeight="1" outlineLevel="1">
      <c r="A40" s="41"/>
      <c r="B40" s="55" t="s">
        <v>52</v>
      </c>
      <c r="C40" s="76" t="s">
        <v>54</v>
      </c>
      <c r="D40" s="74"/>
      <c r="E40" s="74" t="s">
        <v>54</v>
      </c>
      <c r="F40" s="36">
        <v>4000000</v>
      </c>
      <c r="G40" s="29">
        <v>4000000</v>
      </c>
      <c r="H40" s="29">
        <v>0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36">
        <v>4000000</v>
      </c>
      <c r="U40" s="37">
        <v>4000000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59"/>
      <c r="AH40" s="36">
        <v>4000000</v>
      </c>
      <c r="AI40" s="37">
        <v>4000000</v>
      </c>
      <c r="AJ40" s="37">
        <v>0</v>
      </c>
      <c r="AK40" s="37">
        <v>0</v>
      </c>
      <c r="AL40" s="37">
        <v>0</v>
      </c>
      <c r="AM40" s="37">
        <v>0</v>
      </c>
      <c r="AN40" s="37">
        <v>0</v>
      </c>
      <c r="AO40" s="37">
        <v>0</v>
      </c>
      <c r="AP40" s="37">
        <v>0</v>
      </c>
      <c r="AQ40" s="37">
        <v>0</v>
      </c>
      <c r="AR40" s="37">
        <v>0</v>
      </c>
      <c r="AS40" s="37">
        <v>0</v>
      </c>
      <c r="AT40" s="37">
        <v>0</v>
      </c>
      <c r="AU40" s="39"/>
      <c r="AV40" s="36">
        <v>0</v>
      </c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36">
        <v>0</v>
      </c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59"/>
      <c r="BX40" s="36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36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59"/>
    </row>
    <row r="41" spans="1:103" s="32" customFormat="1" ht="19.5" customHeight="1">
      <c r="A41" s="41">
        <v>15</v>
      </c>
      <c r="B41" s="61" t="s">
        <v>55</v>
      </c>
      <c r="C41" s="26"/>
      <c r="D41" s="27"/>
      <c r="E41" s="77" t="s">
        <v>55</v>
      </c>
      <c r="F41" s="28">
        <v>23206300</v>
      </c>
      <c r="G41" s="28">
        <v>1917100</v>
      </c>
      <c r="H41" s="28">
        <v>2006000</v>
      </c>
      <c r="I41" s="28">
        <v>1386000</v>
      </c>
      <c r="J41" s="28">
        <v>0</v>
      </c>
      <c r="K41" s="28">
        <v>2732500</v>
      </c>
      <c r="L41" s="28">
        <v>2655200</v>
      </c>
      <c r="M41" s="28">
        <v>2018000</v>
      </c>
      <c r="N41" s="28">
        <v>2084500</v>
      </c>
      <c r="O41" s="29">
        <v>1412500</v>
      </c>
      <c r="P41" s="29">
        <v>1599500</v>
      </c>
      <c r="Q41" s="29">
        <v>2020000</v>
      </c>
      <c r="R41" s="29">
        <v>3375000</v>
      </c>
      <c r="S41" s="29">
        <v>0</v>
      </c>
      <c r="T41" s="28">
        <v>24000000</v>
      </c>
      <c r="U41" s="28">
        <v>2000000</v>
      </c>
      <c r="V41" s="28">
        <v>2000000</v>
      </c>
      <c r="W41" s="28">
        <v>2000000</v>
      </c>
      <c r="X41" s="28">
        <v>2000000</v>
      </c>
      <c r="Y41" s="28">
        <v>2000000</v>
      </c>
      <c r="Z41" s="28">
        <v>2000000</v>
      </c>
      <c r="AA41" s="28">
        <v>2000000</v>
      </c>
      <c r="AB41" s="28">
        <v>2000000</v>
      </c>
      <c r="AC41" s="28">
        <v>2000000</v>
      </c>
      <c r="AD41" s="28">
        <v>2000000</v>
      </c>
      <c r="AE41" s="28">
        <v>2000000</v>
      </c>
      <c r="AF41" s="28">
        <v>2000000</v>
      </c>
      <c r="AG41" s="30"/>
      <c r="AH41" s="28">
        <v>23352500</v>
      </c>
      <c r="AI41" s="28">
        <v>1453500</v>
      </c>
      <c r="AJ41" s="28">
        <v>1150000</v>
      </c>
      <c r="AK41" s="28">
        <v>1609000</v>
      </c>
      <c r="AL41" s="28">
        <v>708000</v>
      </c>
      <c r="AM41" s="28">
        <v>2533000</v>
      </c>
      <c r="AN41" s="28">
        <v>2325000</v>
      </c>
      <c r="AO41" s="28">
        <v>3016500</v>
      </c>
      <c r="AP41" s="28">
        <v>2345500</v>
      </c>
      <c r="AQ41" s="28">
        <v>2005800</v>
      </c>
      <c r="AR41" s="28">
        <v>1579500</v>
      </c>
      <c r="AS41" s="28">
        <v>2135700</v>
      </c>
      <c r="AT41" s="28">
        <v>2491000</v>
      </c>
      <c r="AU41" s="31"/>
      <c r="AV41" s="28">
        <v>24074076</v>
      </c>
      <c r="AW41" s="28">
        <v>1851852</v>
      </c>
      <c r="AX41" s="28">
        <v>1851852</v>
      </c>
      <c r="AY41" s="28">
        <v>1851852</v>
      </c>
      <c r="AZ41" s="28">
        <v>1851852</v>
      </c>
      <c r="BA41" s="28">
        <v>2777778</v>
      </c>
      <c r="BB41" s="28">
        <v>2777778</v>
      </c>
      <c r="BC41" s="28">
        <v>1851852</v>
      </c>
      <c r="BD41" s="28">
        <v>1851852</v>
      </c>
      <c r="BE41" s="29">
        <v>1851852</v>
      </c>
      <c r="BF41" s="29">
        <v>1851852</v>
      </c>
      <c r="BG41" s="29">
        <v>1851852</v>
      </c>
      <c r="BH41" s="29">
        <v>1851852</v>
      </c>
      <c r="BI41" s="29"/>
      <c r="BJ41" s="28">
        <v>24074076</v>
      </c>
      <c r="BK41" s="28">
        <v>1851852</v>
      </c>
      <c r="BL41" s="28">
        <v>1851852</v>
      </c>
      <c r="BM41" s="28">
        <v>1851852</v>
      </c>
      <c r="BN41" s="28">
        <v>1851852</v>
      </c>
      <c r="BO41" s="28">
        <v>2777778</v>
      </c>
      <c r="BP41" s="28">
        <v>2777778</v>
      </c>
      <c r="BQ41" s="28">
        <v>1851852</v>
      </c>
      <c r="BR41" s="28">
        <v>1851852</v>
      </c>
      <c r="BS41" s="28">
        <v>1851852</v>
      </c>
      <c r="BT41" s="28">
        <v>1851852</v>
      </c>
      <c r="BU41" s="28">
        <v>1851852</v>
      </c>
      <c r="BV41" s="28">
        <v>1851852</v>
      </c>
      <c r="BW41" s="30"/>
      <c r="BX41" s="28"/>
      <c r="BY41" s="28"/>
      <c r="BZ41" s="28"/>
      <c r="CA41" s="28"/>
      <c r="CB41" s="28"/>
      <c r="CC41" s="28"/>
      <c r="CD41" s="28"/>
      <c r="CE41" s="28"/>
      <c r="CF41" s="28"/>
      <c r="CG41" s="29"/>
      <c r="CH41" s="29"/>
      <c r="CI41" s="29"/>
      <c r="CJ41" s="29"/>
      <c r="CK41" s="29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30"/>
    </row>
    <row r="42" spans="1:103" s="32" customFormat="1" ht="19.5" customHeight="1">
      <c r="A42" s="41">
        <v>16</v>
      </c>
      <c r="B42" s="61" t="s">
        <v>56</v>
      </c>
      <c r="C42" s="78"/>
      <c r="D42" s="56"/>
      <c r="E42" s="56"/>
      <c r="F42" s="28">
        <v>50628453</v>
      </c>
      <c r="G42" s="28">
        <v>958125</v>
      </c>
      <c r="H42" s="28">
        <v>3084875</v>
      </c>
      <c r="I42" s="28">
        <v>1720625</v>
      </c>
      <c r="J42" s="28">
        <v>14887671</v>
      </c>
      <c r="K42" s="28">
        <v>1453375</v>
      </c>
      <c r="L42" s="28">
        <v>2798000</v>
      </c>
      <c r="M42" s="28">
        <v>1293750</v>
      </c>
      <c r="N42" s="28">
        <v>2967875</v>
      </c>
      <c r="O42" s="28">
        <v>1434250</v>
      </c>
      <c r="P42" s="28">
        <v>15996310</v>
      </c>
      <c r="Q42" s="28">
        <v>2400875</v>
      </c>
      <c r="R42" s="28">
        <v>1632722</v>
      </c>
      <c r="S42" s="28">
        <v>0</v>
      </c>
      <c r="T42" s="28">
        <v>52000000</v>
      </c>
      <c r="U42" s="28">
        <v>2000000</v>
      </c>
      <c r="V42" s="28">
        <v>2000000</v>
      </c>
      <c r="W42" s="28">
        <v>2000000</v>
      </c>
      <c r="X42" s="28">
        <v>16000000</v>
      </c>
      <c r="Y42" s="28">
        <v>2000000</v>
      </c>
      <c r="Z42" s="28">
        <v>2000000</v>
      </c>
      <c r="AA42" s="28">
        <v>2000000</v>
      </c>
      <c r="AB42" s="28">
        <v>2000000</v>
      </c>
      <c r="AC42" s="28">
        <v>2000000</v>
      </c>
      <c r="AD42" s="28">
        <v>16000000</v>
      </c>
      <c r="AE42" s="28">
        <v>2000000</v>
      </c>
      <c r="AF42" s="28">
        <v>2000000</v>
      </c>
      <c r="AG42" s="57"/>
      <c r="AH42" s="28">
        <v>51945634</v>
      </c>
      <c r="AI42" s="28">
        <v>0</v>
      </c>
      <c r="AJ42" s="28">
        <v>1589375</v>
      </c>
      <c r="AK42" s="28">
        <v>4479875</v>
      </c>
      <c r="AL42" s="28">
        <v>15058148</v>
      </c>
      <c r="AM42" s="28">
        <v>941125</v>
      </c>
      <c r="AN42" s="28">
        <v>2585375</v>
      </c>
      <c r="AO42" s="28">
        <v>1887750</v>
      </c>
      <c r="AP42" s="28">
        <v>3161875</v>
      </c>
      <c r="AQ42" s="28">
        <v>2769125</v>
      </c>
      <c r="AR42" s="28">
        <v>16986986</v>
      </c>
      <c r="AS42" s="28">
        <v>1380500</v>
      </c>
      <c r="AT42" s="28">
        <v>1105500</v>
      </c>
      <c r="AU42" s="31"/>
      <c r="AV42" s="28">
        <v>56000000</v>
      </c>
      <c r="AW42" s="28">
        <v>1500000</v>
      </c>
      <c r="AX42" s="28">
        <v>3000000</v>
      </c>
      <c r="AY42" s="28">
        <v>3700000</v>
      </c>
      <c r="AZ42" s="28">
        <v>15800000</v>
      </c>
      <c r="BA42" s="28">
        <v>1500000</v>
      </c>
      <c r="BB42" s="28">
        <v>3500000</v>
      </c>
      <c r="BC42" s="28">
        <v>1300000</v>
      </c>
      <c r="BD42" s="28">
        <v>3000000</v>
      </c>
      <c r="BE42" s="28">
        <v>1500000</v>
      </c>
      <c r="BF42" s="28">
        <v>16200000</v>
      </c>
      <c r="BG42" s="28">
        <v>2000000</v>
      </c>
      <c r="BH42" s="28">
        <v>3000000</v>
      </c>
      <c r="BI42" s="28"/>
      <c r="BJ42" s="28">
        <v>56000000</v>
      </c>
      <c r="BK42" s="28">
        <v>1500000</v>
      </c>
      <c r="BL42" s="28">
        <v>3000000</v>
      </c>
      <c r="BM42" s="28">
        <v>3700000</v>
      </c>
      <c r="BN42" s="28">
        <v>15800000</v>
      </c>
      <c r="BO42" s="28">
        <v>1500000</v>
      </c>
      <c r="BP42" s="28">
        <v>3500000</v>
      </c>
      <c r="BQ42" s="28">
        <v>1300000</v>
      </c>
      <c r="BR42" s="28">
        <v>3000000</v>
      </c>
      <c r="BS42" s="28">
        <v>1500000</v>
      </c>
      <c r="BT42" s="28">
        <v>16200000</v>
      </c>
      <c r="BU42" s="28">
        <v>2000000</v>
      </c>
      <c r="BV42" s="28">
        <v>3000000</v>
      </c>
      <c r="BW42" s="57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57"/>
    </row>
    <row r="43" spans="1:103" s="81" customFormat="1" ht="19.5" customHeight="1" outlineLevel="1">
      <c r="A43" s="41"/>
      <c r="B43" s="61" t="s">
        <v>56</v>
      </c>
      <c r="C43" s="73" t="s">
        <v>57</v>
      </c>
      <c r="D43" s="79"/>
      <c r="E43" s="58" t="s">
        <v>57</v>
      </c>
      <c r="F43" s="36">
        <v>21171972</v>
      </c>
      <c r="G43" s="29">
        <v>958125</v>
      </c>
      <c r="H43" s="29">
        <v>3084875</v>
      </c>
      <c r="I43" s="29">
        <v>1720625</v>
      </c>
      <c r="J43" s="29">
        <v>1208875</v>
      </c>
      <c r="K43" s="29">
        <v>1453375</v>
      </c>
      <c r="L43" s="29">
        <v>1423000</v>
      </c>
      <c r="M43" s="29">
        <v>1293750</v>
      </c>
      <c r="N43" s="29">
        <v>2967875</v>
      </c>
      <c r="O43" s="29">
        <v>1434250</v>
      </c>
      <c r="P43" s="29">
        <v>1593625</v>
      </c>
      <c r="Q43" s="29">
        <v>2400875</v>
      </c>
      <c r="R43" s="29">
        <v>1632722</v>
      </c>
      <c r="S43" s="29">
        <v>0</v>
      </c>
      <c r="T43" s="36">
        <v>24000000</v>
      </c>
      <c r="U43" s="37">
        <v>2000000</v>
      </c>
      <c r="V43" s="37">
        <v>2000000</v>
      </c>
      <c r="W43" s="37">
        <v>2000000</v>
      </c>
      <c r="X43" s="37">
        <v>2000000</v>
      </c>
      <c r="Y43" s="37">
        <v>2000000</v>
      </c>
      <c r="Z43" s="37">
        <v>2000000</v>
      </c>
      <c r="AA43" s="37">
        <v>2000000</v>
      </c>
      <c r="AB43" s="37">
        <v>2000000</v>
      </c>
      <c r="AC43" s="37">
        <v>2000000</v>
      </c>
      <c r="AD43" s="37">
        <v>2000000</v>
      </c>
      <c r="AE43" s="37">
        <v>2000000</v>
      </c>
      <c r="AF43" s="37">
        <v>2000000</v>
      </c>
      <c r="AG43" s="80"/>
      <c r="AH43" s="36">
        <v>23526375</v>
      </c>
      <c r="AI43" s="37">
        <v>0</v>
      </c>
      <c r="AJ43" s="37">
        <v>1589375</v>
      </c>
      <c r="AK43" s="37">
        <v>4479875</v>
      </c>
      <c r="AL43" s="37">
        <v>1630000</v>
      </c>
      <c r="AM43" s="37">
        <v>941125</v>
      </c>
      <c r="AN43" s="37">
        <v>2585375</v>
      </c>
      <c r="AO43" s="37">
        <v>1887750</v>
      </c>
      <c r="AP43" s="37">
        <v>3161875</v>
      </c>
      <c r="AQ43" s="37">
        <v>2769125</v>
      </c>
      <c r="AR43" s="37">
        <v>1995875</v>
      </c>
      <c r="AS43" s="37">
        <v>1380500</v>
      </c>
      <c r="AT43" s="37">
        <v>1105500</v>
      </c>
      <c r="AU43" s="39"/>
      <c r="AV43" s="36">
        <v>23000000</v>
      </c>
      <c r="AW43" s="29">
        <v>1500000</v>
      </c>
      <c r="AX43" s="29">
        <v>3000000</v>
      </c>
      <c r="AY43" s="29">
        <v>1700000</v>
      </c>
      <c r="AZ43" s="29">
        <v>1300000</v>
      </c>
      <c r="BA43" s="29">
        <v>1500000</v>
      </c>
      <c r="BB43" s="29">
        <v>1500000</v>
      </c>
      <c r="BC43" s="29">
        <v>1300000</v>
      </c>
      <c r="BD43" s="29">
        <v>3000000</v>
      </c>
      <c r="BE43" s="29">
        <v>1500000</v>
      </c>
      <c r="BF43" s="29">
        <v>1700000</v>
      </c>
      <c r="BG43" s="29">
        <v>2000000</v>
      </c>
      <c r="BH43" s="29">
        <v>3000000</v>
      </c>
      <c r="BI43" s="29"/>
      <c r="BJ43" s="36">
        <v>23000000</v>
      </c>
      <c r="BK43" s="37">
        <v>1500000</v>
      </c>
      <c r="BL43" s="37">
        <v>3000000</v>
      </c>
      <c r="BM43" s="37">
        <v>1700000</v>
      </c>
      <c r="BN43" s="37">
        <v>1300000</v>
      </c>
      <c r="BO43" s="37">
        <v>1500000</v>
      </c>
      <c r="BP43" s="37">
        <v>1500000</v>
      </c>
      <c r="BQ43" s="37">
        <v>1300000</v>
      </c>
      <c r="BR43" s="37">
        <v>3000000</v>
      </c>
      <c r="BS43" s="37">
        <v>1500000</v>
      </c>
      <c r="BT43" s="37">
        <v>1700000</v>
      </c>
      <c r="BU43" s="37">
        <v>2000000</v>
      </c>
      <c r="BV43" s="37">
        <v>3000000</v>
      </c>
      <c r="BW43" s="80"/>
      <c r="BX43" s="36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36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80"/>
    </row>
    <row r="44" spans="1:103" s="81" customFormat="1" ht="19.5" customHeight="1" outlineLevel="1">
      <c r="A44" s="41"/>
      <c r="B44" s="61" t="s">
        <v>56</v>
      </c>
      <c r="C44" s="73" t="s">
        <v>58</v>
      </c>
      <c r="D44" s="79"/>
      <c r="E44" s="58" t="s">
        <v>58</v>
      </c>
      <c r="F44" s="36">
        <v>29456481</v>
      </c>
      <c r="G44" s="29">
        <v>0</v>
      </c>
      <c r="H44" s="29">
        <v>0</v>
      </c>
      <c r="I44" s="29">
        <v>0</v>
      </c>
      <c r="J44" s="29">
        <v>13678796</v>
      </c>
      <c r="K44" s="29">
        <v>0</v>
      </c>
      <c r="L44" s="29">
        <v>1375000</v>
      </c>
      <c r="M44" s="29">
        <v>0</v>
      </c>
      <c r="N44" s="29">
        <v>0</v>
      </c>
      <c r="O44" s="29">
        <v>0</v>
      </c>
      <c r="P44" s="29">
        <v>14402685</v>
      </c>
      <c r="Q44" s="29">
        <v>0</v>
      </c>
      <c r="R44" s="29">
        <v>0</v>
      </c>
      <c r="S44" s="29">
        <v>0</v>
      </c>
      <c r="T44" s="36">
        <v>28000000</v>
      </c>
      <c r="U44" s="37">
        <v>0</v>
      </c>
      <c r="V44" s="37">
        <v>0</v>
      </c>
      <c r="W44" s="37">
        <v>0</v>
      </c>
      <c r="X44" s="37">
        <v>14000000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14000000</v>
      </c>
      <c r="AE44" s="37">
        <v>0</v>
      </c>
      <c r="AF44" s="37">
        <v>0</v>
      </c>
      <c r="AG44" s="80"/>
      <c r="AH44" s="36">
        <v>28419259</v>
      </c>
      <c r="AI44" s="37">
        <v>0</v>
      </c>
      <c r="AJ44" s="37">
        <v>0</v>
      </c>
      <c r="AK44" s="37">
        <v>0</v>
      </c>
      <c r="AL44" s="37">
        <v>13428148</v>
      </c>
      <c r="AM44" s="37">
        <v>0</v>
      </c>
      <c r="AN44" s="37">
        <v>0</v>
      </c>
      <c r="AO44" s="37">
        <v>0</v>
      </c>
      <c r="AP44" s="37">
        <v>0</v>
      </c>
      <c r="AQ44" s="37">
        <v>0</v>
      </c>
      <c r="AR44" s="37">
        <v>14991111</v>
      </c>
      <c r="AS44" s="37">
        <v>0</v>
      </c>
      <c r="AT44" s="37">
        <v>0</v>
      </c>
      <c r="AU44" s="39"/>
      <c r="AV44" s="36">
        <v>33000000</v>
      </c>
      <c r="AW44" s="29">
        <v>0</v>
      </c>
      <c r="AX44" s="29">
        <v>0</v>
      </c>
      <c r="AY44" s="29">
        <v>2000000</v>
      </c>
      <c r="AZ44" s="29">
        <v>14500000</v>
      </c>
      <c r="BA44" s="29">
        <v>0</v>
      </c>
      <c r="BB44" s="29">
        <v>2000000</v>
      </c>
      <c r="BC44" s="29">
        <v>0</v>
      </c>
      <c r="BD44" s="29">
        <v>0</v>
      </c>
      <c r="BE44" s="29">
        <v>0</v>
      </c>
      <c r="BF44" s="29">
        <v>14500000</v>
      </c>
      <c r="BG44" s="29">
        <v>0</v>
      </c>
      <c r="BH44" s="29">
        <v>0</v>
      </c>
      <c r="BI44" s="29"/>
      <c r="BJ44" s="36">
        <v>33000000</v>
      </c>
      <c r="BK44" s="37">
        <v>0</v>
      </c>
      <c r="BL44" s="37">
        <v>0</v>
      </c>
      <c r="BM44" s="37">
        <v>2000000</v>
      </c>
      <c r="BN44" s="37">
        <v>14500000</v>
      </c>
      <c r="BO44" s="37">
        <v>0</v>
      </c>
      <c r="BP44" s="37">
        <v>2000000</v>
      </c>
      <c r="BQ44" s="37">
        <v>0</v>
      </c>
      <c r="BR44" s="37">
        <v>0</v>
      </c>
      <c r="BS44" s="37">
        <v>0</v>
      </c>
      <c r="BT44" s="37">
        <v>14500000</v>
      </c>
      <c r="BU44" s="37">
        <v>0</v>
      </c>
      <c r="BV44" s="37">
        <v>0</v>
      </c>
      <c r="BW44" s="80"/>
      <c r="BX44" s="36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36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80"/>
    </row>
    <row r="45" spans="1:103" s="32" customFormat="1" ht="19.5" customHeight="1">
      <c r="A45" s="41">
        <v>25</v>
      </c>
      <c r="B45" s="61" t="s">
        <v>59</v>
      </c>
      <c r="C45" s="55"/>
      <c r="D45" s="56"/>
      <c r="E45" s="77" t="s">
        <v>59</v>
      </c>
      <c r="F45" s="28">
        <v>37080000</v>
      </c>
      <c r="G45" s="232">
        <v>3090000</v>
      </c>
      <c r="H45" s="232">
        <v>3090000</v>
      </c>
      <c r="I45" s="232">
        <v>3090000</v>
      </c>
      <c r="J45" s="232">
        <v>3090000</v>
      </c>
      <c r="K45" s="232">
        <v>3090000</v>
      </c>
      <c r="L45" s="232">
        <v>3090000</v>
      </c>
      <c r="M45" s="232">
        <v>3090000</v>
      </c>
      <c r="N45" s="232">
        <v>3090000</v>
      </c>
      <c r="O45" s="29">
        <v>3090000</v>
      </c>
      <c r="P45" s="29">
        <v>3090000</v>
      </c>
      <c r="Q45" s="29">
        <v>3090000</v>
      </c>
      <c r="R45" s="29">
        <v>3090000</v>
      </c>
      <c r="S45" s="29">
        <v>0</v>
      </c>
      <c r="T45" s="28">
        <v>37080000</v>
      </c>
      <c r="U45" s="28">
        <v>3090000</v>
      </c>
      <c r="V45" s="28">
        <v>3090000</v>
      </c>
      <c r="W45" s="28">
        <v>3090000</v>
      </c>
      <c r="X45" s="28">
        <v>3090000</v>
      </c>
      <c r="Y45" s="28">
        <v>3090000</v>
      </c>
      <c r="Z45" s="28">
        <v>3090000</v>
      </c>
      <c r="AA45" s="28">
        <v>3090000</v>
      </c>
      <c r="AB45" s="28">
        <v>3090000</v>
      </c>
      <c r="AC45" s="28">
        <v>3090000</v>
      </c>
      <c r="AD45" s="28">
        <v>3090000</v>
      </c>
      <c r="AE45" s="28">
        <v>3090000</v>
      </c>
      <c r="AF45" s="28">
        <v>3090000</v>
      </c>
      <c r="AG45" s="57"/>
      <c r="AH45" s="28">
        <v>37080000</v>
      </c>
      <c r="AI45" s="28">
        <v>0</v>
      </c>
      <c r="AJ45" s="28">
        <v>6180000</v>
      </c>
      <c r="AK45" s="28">
        <v>3090000</v>
      </c>
      <c r="AL45" s="28">
        <v>3090000</v>
      </c>
      <c r="AM45" s="28">
        <v>3090000</v>
      </c>
      <c r="AN45" s="28">
        <v>3090000</v>
      </c>
      <c r="AO45" s="28">
        <v>3090000</v>
      </c>
      <c r="AP45" s="28">
        <v>3090000</v>
      </c>
      <c r="AQ45" s="28">
        <v>3090000</v>
      </c>
      <c r="AR45" s="28">
        <v>3090000</v>
      </c>
      <c r="AS45" s="28">
        <v>3090000</v>
      </c>
      <c r="AT45" s="28">
        <v>3090000</v>
      </c>
      <c r="AU45" s="31"/>
      <c r="AV45" s="28">
        <v>38400000</v>
      </c>
      <c r="AW45" s="232">
        <v>3200000</v>
      </c>
      <c r="AX45" s="232">
        <v>3200000</v>
      </c>
      <c r="AY45" s="232">
        <v>3200000</v>
      </c>
      <c r="AZ45" s="232">
        <v>3200000</v>
      </c>
      <c r="BA45" s="232">
        <v>3200000</v>
      </c>
      <c r="BB45" s="232">
        <v>3200000</v>
      </c>
      <c r="BC45" s="232">
        <v>3200000</v>
      </c>
      <c r="BD45" s="232">
        <v>3200000</v>
      </c>
      <c r="BE45" s="29">
        <v>3200000</v>
      </c>
      <c r="BF45" s="29">
        <v>3200000</v>
      </c>
      <c r="BG45" s="29">
        <v>3200000</v>
      </c>
      <c r="BH45" s="29">
        <v>3200000</v>
      </c>
      <c r="BI45" s="29"/>
      <c r="BJ45" s="28">
        <v>38400000</v>
      </c>
      <c r="BK45" s="28">
        <v>3200000</v>
      </c>
      <c r="BL45" s="28">
        <v>3200000</v>
      </c>
      <c r="BM45" s="28">
        <v>3200000</v>
      </c>
      <c r="BN45" s="28">
        <v>3200000</v>
      </c>
      <c r="BO45" s="28">
        <v>3200000</v>
      </c>
      <c r="BP45" s="28">
        <v>3200000</v>
      </c>
      <c r="BQ45" s="28">
        <v>3200000</v>
      </c>
      <c r="BR45" s="28">
        <v>3200000</v>
      </c>
      <c r="BS45" s="28">
        <v>3200000</v>
      </c>
      <c r="BT45" s="28">
        <v>3200000</v>
      </c>
      <c r="BU45" s="28">
        <v>3200000</v>
      </c>
      <c r="BV45" s="28">
        <v>3200000</v>
      </c>
      <c r="BW45" s="57"/>
      <c r="BX45" s="28"/>
      <c r="BY45" s="232"/>
      <c r="BZ45" s="232"/>
      <c r="CA45" s="232"/>
      <c r="CB45" s="232"/>
      <c r="CC45" s="232"/>
      <c r="CD45" s="232"/>
      <c r="CE45" s="232"/>
      <c r="CF45" s="232"/>
      <c r="CG45" s="29"/>
      <c r="CH45" s="29"/>
      <c r="CI45" s="29"/>
      <c r="CJ45" s="29"/>
      <c r="CK45" s="29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57"/>
    </row>
    <row r="46" spans="1:103" s="32" customFormat="1" ht="19.5" customHeight="1">
      <c r="A46" s="41">
        <v>14</v>
      </c>
      <c r="B46" s="55" t="s">
        <v>60</v>
      </c>
      <c r="C46" s="55"/>
      <c r="D46" s="56"/>
      <c r="E46" s="56" t="s">
        <v>60</v>
      </c>
      <c r="F46" s="28">
        <v>1802450</v>
      </c>
      <c r="G46" s="232">
        <v>143375</v>
      </c>
      <c r="H46" s="232">
        <v>220800</v>
      </c>
      <c r="I46" s="232">
        <v>130444</v>
      </c>
      <c r="J46" s="232">
        <v>140374</v>
      </c>
      <c r="K46" s="232">
        <v>151029</v>
      </c>
      <c r="L46" s="232">
        <v>150029</v>
      </c>
      <c r="M46" s="232">
        <v>127206</v>
      </c>
      <c r="N46" s="232">
        <v>178452</v>
      </c>
      <c r="O46" s="29">
        <v>151007</v>
      </c>
      <c r="P46" s="29">
        <v>141432</v>
      </c>
      <c r="Q46" s="29">
        <v>138253</v>
      </c>
      <c r="R46" s="29">
        <v>130049</v>
      </c>
      <c r="S46" s="29">
        <v>0</v>
      </c>
      <c r="T46" s="28">
        <v>2222222.222222222</v>
      </c>
      <c r="U46" s="28">
        <v>185185.18518518517</v>
      </c>
      <c r="V46" s="28">
        <v>185185.18518518517</v>
      </c>
      <c r="W46" s="28">
        <v>185185.18518518517</v>
      </c>
      <c r="X46" s="28">
        <v>185185.18518518517</v>
      </c>
      <c r="Y46" s="28">
        <v>185185.18518518517</v>
      </c>
      <c r="Z46" s="28">
        <v>185185.18518518517</v>
      </c>
      <c r="AA46" s="28">
        <v>185185.18518518517</v>
      </c>
      <c r="AB46" s="28">
        <v>185185.18518518517</v>
      </c>
      <c r="AC46" s="28">
        <v>185185.18518518517</v>
      </c>
      <c r="AD46" s="28">
        <v>185185.18518518517</v>
      </c>
      <c r="AE46" s="28">
        <v>185185.18518518517</v>
      </c>
      <c r="AF46" s="28">
        <v>185185.18518518517</v>
      </c>
      <c r="AG46" s="57"/>
      <c r="AH46" s="28">
        <v>2148466</v>
      </c>
      <c r="AI46" s="28">
        <v>135961</v>
      </c>
      <c r="AJ46" s="28">
        <v>193626</v>
      </c>
      <c r="AK46" s="28">
        <v>166985</v>
      </c>
      <c r="AL46" s="28">
        <v>412675</v>
      </c>
      <c r="AM46" s="28">
        <v>0</v>
      </c>
      <c r="AN46" s="28">
        <v>205217</v>
      </c>
      <c r="AO46" s="28">
        <v>148805</v>
      </c>
      <c r="AP46" s="28">
        <v>215551</v>
      </c>
      <c r="AQ46" s="28">
        <v>160716</v>
      </c>
      <c r="AR46" s="28">
        <v>190084</v>
      </c>
      <c r="AS46" s="28">
        <v>172209</v>
      </c>
      <c r="AT46" s="28">
        <v>146637</v>
      </c>
      <c r="AU46" s="31"/>
      <c r="AV46" s="28">
        <v>2160000</v>
      </c>
      <c r="AW46" s="232">
        <v>180000</v>
      </c>
      <c r="AX46" s="232">
        <v>180000</v>
      </c>
      <c r="AY46" s="232">
        <v>180000</v>
      </c>
      <c r="AZ46" s="232">
        <v>180000</v>
      </c>
      <c r="BA46" s="232">
        <v>180000</v>
      </c>
      <c r="BB46" s="232">
        <v>180000</v>
      </c>
      <c r="BC46" s="232">
        <v>180000</v>
      </c>
      <c r="BD46" s="232">
        <v>180000</v>
      </c>
      <c r="BE46" s="29">
        <v>180000</v>
      </c>
      <c r="BF46" s="29">
        <v>180000</v>
      </c>
      <c r="BG46" s="29">
        <v>180000</v>
      </c>
      <c r="BH46" s="29">
        <v>180000</v>
      </c>
      <c r="BI46" s="29"/>
      <c r="BJ46" s="28">
        <v>2160000</v>
      </c>
      <c r="BK46" s="28">
        <v>180000</v>
      </c>
      <c r="BL46" s="28">
        <v>180000</v>
      </c>
      <c r="BM46" s="28">
        <v>180000</v>
      </c>
      <c r="BN46" s="28">
        <v>180000</v>
      </c>
      <c r="BO46" s="28">
        <v>180000</v>
      </c>
      <c r="BP46" s="28">
        <v>180000</v>
      </c>
      <c r="BQ46" s="28">
        <v>180000</v>
      </c>
      <c r="BR46" s="28">
        <v>180000</v>
      </c>
      <c r="BS46" s="28">
        <v>180000</v>
      </c>
      <c r="BT46" s="28">
        <v>180000</v>
      </c>
      <c r="BU46" s="28">
        <v>180000</v>
      </c>
      <c r="BV46" s="28">
        <v>180000</v>
      </c>
      <c r="BW46" s="57"/>
      <c r="BX46" s="28"/>
      <c r="BY46" s="232"/>
      <c r="BZ46" s="232"/>
      <c r="CA46" s="232"/>
      <c r="CB46" s="232"/>
      <c r="CC46" s="232"/>
      <c r="CD46" s="232"/>
      <c r="CE46" s="232"/>
      <c r="CF46" s="232"/>
      <c r="CG46" s="29"/>
      <c r="CH46" s="29"/>
      <c r="CI46" s="29"/>
      <c r="CJ46" s="29"/>
      <c r="CK46" s="29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57"/>
    </row>
    <row r="47" spans="1:103" s="32" customFormat="1" ht="19.5" customHeight="1">
      <c r="A47" s="41">
        <v>17</v>
      </c>
      <c r="B47" s="55" t="s">
        <v>61</v>
      </c>
      <c r="C47" s="55"/>
      <c r="D47" s="56"/>
      <c r="E47" s="56"/>
      <c r="F47" s="28">
        <v>120948321</v>
      </c>
      <c r="G47" s="28">
        <v>10410718</v>
      </c>
      <c r="H47" s="28">
        <v>11578570</v>
      </c>
      <c r="I47" s="28">
        <v>14383819</v>
      </c>
      <c r="J47" s="28">
        <v>6883594</v>
      </c>
      <c r="K47" s="28">
        <v>7833594</v>
      </c>
      <c r="L47" s="28">
        <v>7500737</v>
      </c>
      <c r="M47" s="28">
        <v>6960737</v>
      </c>
      <c r="N47" s="28">
        <v>6960737</v>
      </c>
      <c r="O47" s="28">
        <v>17500737</v>
      </c>
      <c r="P47" s="28">
        <v>11160737</v>
      </c>
      <c r="Q47" s="28">
        <v>9216237</v>
      </c>
      <c r="R47" s="28">
        <v>10558104</v>
      </c>
      <c r="S47" s="28">
        <v>113758580</v>
      </c>
      <c r="T47" s="28">
        <v>174543228.72727272</v>
      </c>
      <c r="U47" s="28">
        <v>10410718</v>
      </c>
      <c r="V47" s="28">
        <v>11578570</v>
      </c>
      <c r="W47" s="28">
        <v>10795819</v>
      </c>
      <c r="X47" s="28">
        <v>12612761</v>
      </c>
      <c r="Y47" s="28">
        <v>15744761</v>
      </c>
      <c r="Z47" s="28">
        <v>18932033.727272727</v>
      </c>
      <c r="AA47" s="28">
        <v>15744761</v>
      </c>
      <c r="AB47" s="28">
        <v>15744761</v>
      </c>
      <c r="AC47" s="28">
        <v>15744761</v>
      </c>
      <c r="AD47" s="28">
        <v>15744761</v>
      </c>
      <c r="AE47" s="28">
        <v>15744761</v>
      </c>
      <c r="AF47" s="28">
        <v>15744761</v>
      </c>
      <c r="AG47" s="57"/>
      <c r="AH47" s="28">
        <v>133948425</v>
      </c>
      <c r="AI47" s="28">
        <v>14348204</v>
      </c>
      <c r="AJ47" s="28">
        <v>9079568</v>
      </c>
      <c r="AK47" s="28">
        <v>20004318</v>
      </c>
      <c r="AL47" s="28">
        <v>9844318</v>
      </c>
      <c r="AM47" s="28">
        <v>9844318</v>
      </c>
      <c r="AN47" s="28">
        <v>12498191</v>
      </c>
      <c r="AO47" s="28">
        <v>9850918</v>
      </c>
      <c r="AP47" s="28">
        <v>11200918</v>
      </c>
      <c r="AQ47" s="28">
        <v>9850918</v>
      </c>
      <c r="AR47" s="28">
        <v>9850918</v>
      </c>
      <c r="AS47" s="28">
        <v>8787918</v>
      </c>
      <c r="AT47" s="28">
        <v>8787918</v>
      </c>
      <c r="AU47" s="31"/>
      <c r="AV47" s="28">
        <v>147756013</v>
      </c>
      <c r="AW47" s="28">
        <v>10558104</v>
      </c>
      <c r="AX47" s="28">
        <v>13205377</v>
      </c>
      <c r="AY47" s="28">
        <v>13033104</v>
      </c>
      <c r="AZ47" s="28">
        <v>20056181</v>
      </c>
      <c r="BA47" s="28">
        <v>14002981</v>
      </c>
      <c r="BB47" s="28">
        <v>10273181</v>
      </c>
      <c r="BC47" s="28">
        <v>10056181</v>
      </c>
      <c r="BD47" s="28">
        <v>10056181</v>
      </c>
      <c r="BE47" s="28">
        <v>20596181</v>
      </c>
      <c r="BF47" s="28">
        <v>8639514</v>
      </c>
      <c r="BG47" s="28">
        <v>8639514</v>
      </c>
      <c r="BH47" s="28">
        <v>8639514</v>
      </c>
      <c r="BI47" s="28"/>
      <c r="BJ47" s="28">
        <v>147756013</v>
      </c>
      <c r="BK47" s="28">
        <v>10558104</v>
      </c>
      <c r="BL47" s="28">
        <v>13205377</v>
      </c>
      <c r="BM47" s="28">
        <v>13033104</v>
      </c>
      <c r="BN47" s="28">
        <v>20056181</v>
      </c>
      <c r="BO47" s="28">
        <v>14002981</v>
      </c>
      <c r="BP47" s="28">
        <v>10273181</v>
      </c>
      <c r="BQ47" s="28">
        <v>10056181</v>
      </c>
      <c r="BR47" s="28">
        <v>10056181</v>
      </c>
      <c r="BS47" s="28">
        <v>20596181</v>
      </c>
      <c r="BT47" s="28">
        <v>8639514</v>
      </c>
      <c r="BU47" s="28">
        <v>8639514</v>
      </c>
      <c r="BV47" s="28">
        <v>8639514</v>
      </c>
      <c r="BW47" s="57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57"/>
    </row>
    <row r="48" spans="1:103" s="40" customFormat="1" ht="19.5" customHeight="1" outlineLevel="1">
      <c r="A48" s="41"/>
      <c r="B48" s="55" t="s">
        <v>61</v>
      </c>
      <c r="C48" s="76" t="s">
        <v>61</v>
      </c>
      <c r="D48" s="74"/>
      <c r="E48" s="74"/>
      <c r="F48" s="36">
        <v>118301048</v>
      </c>
      <c r="G48" s="29">
        <v>10410718</v>
      </c>
      <c r="H48" s="29">
        <v>8931297</v>
      </c>
      <c r="I48" s="29">
        <v>14383819</v>
      </c>
      <c r="J48" s="29">
        <v>6883594</v>
      </c>
      <c r="K48" s="29">
        <v>7833594</v>
      </c>
      <c r="L48" s="29">
        <v>7500737</v>
      </c>
      <c r="M48" s="29">
        <v>6960737</v>
      </c>
      <c r="N48" s="29">
        <v>6960737</v>
      </c>
      <c r="O48" s="29">
        <v>17500737</v>
      </c>
      <c r="P48" s="29">
        <v>11160737</v>
      </c>
      <c r="Q48" s="29">
        <v>9216237</v>
      </c>
      <c r="R48" s="29">
        <v>10558104</v>
      </c>
      <c r="S48" s="29">
        <v>113758580</v>
      </c>
      <c r="T48" s="36">
        <v>169248683</v>
      </c>
      <c r="U48" s="36">
        <v>10410718</v>
      </c>
      <c r="V48" s="36">
        <v>8931297</v>
      </c>
      <c r="W48" s="36">
        <v>10795819</v>
      </c>
      <c r="X48" s="36">
        <v>12612761</v>
      </c>
      <c r="Y48" s="36">
        <v>15744761</v>
      </c>
      <c r="Z48" s="36">
        <v>16284761</v>
      </c>
      <c r="AA48" s="36">
        <v>15744761</v>
      </c>
      <c r="AB48" s="36">
        <v>15744761</v>
      </c>
      <c r="AC48" s="36">
        <v>15744761</v>
      </c>
      <c r="AD48" s="36">
        <v>15744761</v>
      </c>
      <c r="AE48" s="36">
        <v>15744761</v>
      </c>
      <c r="AF48" s="36">
        <v>15744761</v>
      </c>
      <c r="AG48" s="59"/>
      <c r="AH48" s="36">
        <v>128657516</v>
      </c>
      <c r="AI48" s="36">
        <v>11704568</v>
      </c>
      <c r="AJ48" s="36">
        <v>9079568</v>
      </c>
      <c r="AK48" s="36">
        <v>20004318</v>
      </c>
      <c r="AL48" s="36">
        <v>9844318</v>
      </c>
      <c r="AM48" s="36">
        <v>9844318</v>
      </c>
      <c r="AN48" s="36">
        <v>9850918</v>
      </c>
      <c r="AO48" s="36">
        <v>9850918</v>
      </c>
      <c r="AP48" s="36">
        <v>11200918</v>
      </c>
      <c r="AQ48" s="36">
        <v>9850918</v>
      </c>
      <c r="AR48" s="36">
        <v>9850918</v>
      </c>
      <c r="AS48" s="36">
        <v>8787918</v>
      </c>
      <c r="AT48" s="36">
        <v>8787918</v>
      </c>
      <c r="AU48" s="82"/>
      <c r="AV48" s="36">
        <v>145108740</v>
      </c>
      <c r="AW48" s="29">
        <v>10558104</v>
      </c>
      <c r="AX48" s="29">
        <v>10558104</v>
      </c>
      <c r="AY48" s="29">
        <v>13033104</v>
      </c>
      <c r="AZ48" s="29">
        <v>20056181</v>
      </c>
      <c r="BA48" s="29">
        <v>14002981</v>
      </c>
      <c r="BB48" s="29">
        <v>10273181</v>
      </c>
      <c r="BC48" s="29">
        <v>10056181</v>
      </c>
      <c r="BD48" s="29">
        <v>10056181</v>
      </c>
      <c r="BE48" s="29">
        <v>20596181</v>
      </c>
      <c r="BF48" s="29">
        <v>8639514</v>
      </c>
      <c r="BG48" s="29">
        <v>8639514</v>
      </c>
      <c r="BH48" s="29">
        <v>8639514</v>
      </c>
      <c r="BI48" s="29"/>
      <c r="BJ48" s="36">
        <v>145108740</v>
      </c>
      <c r="BK48" s="36">
        <v>10558104</v>
      </c>
      <c r="BL48" s="36">
        <v>10558104</v>
      </c>
      <c r="BM48" s="36">
        <v>13033104</v>
      </c>
      <c r="BN48" s="36">
        <v>20056181</v>
      </c>
      <c r="BO48" s="36">
        <v>14002981</v>
      </c>
      <c r="BP48" s="36">
        <v>10273181</v>
      </c>
      <c r="BQ48" s="36">
        <v>10056181</v>
      </c>
      <c r="BR48" s="36">
        <v>10056181</v>
      </c>
      <c r="BS48" s="36">
        <v>20596181</v>
      </c>
      <c r="BT48" s="36">
        <v>8639514</v>
      </c>
      <c r="BU48" s="36">
        <v>8639514</v>
      </c>
      <c r="BV48" s="36">
        <v>8639514</v>
      </c>
      <c r="BW48" s="59"/>
      <c r="BX48" s="36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59"/>
    </row>
    <row r="49" spans="1:103" s="71" customFormat="1" ht="19.5" customHeight="1" outlineLevel="1">
      <c r="A49" s="62"/>
      <c r="B49" s="55" t="s">
        <v>61</v>
      </c>
      <c r="C49" s="83"/>
      <c r="D49" s="84" t="s">
        <v>62</v>
      </c>
      <c r="E49" s="84" t="s">
        <v>62</v>
      </c>
      <c r="F49" s="66">
        <v>5445600</v>
      </c>
      <c r="G49" s="67">
        <v>453800</v>
      </c>
      <c r="H49" s="67">
        <v>453800</v>
      </c>
      <c r="I49" s="67">
        <v>453800</v>
      </c>
      <c r="J49" s="67">
        <v>453800</v>
      </c>
      <c r="K49" s="67">
        <v>453800</v>
      </c>
      <c r="L49" s="67">
        <v>453800</v>
      </c>
      <c r="M49" s="231">
        <v>453800</v>
      </c>
      <c r="N49" s="231">
        <v>453800</v>
      </c>
      <c r="O49" s="231">
        <v>453800</v>
      </c>
      <c r="P49" s="67">
        <v>453800</v>
      </c>
      <c r="Q49" s="67">
        <v>453800</v>
      </c>
      <c r="R49" s="67">
        <v>453800</v>
      </c>
      <c r="S49" s="67">
        <v>5445600</v>
      </c>
      <c r="T49" s="66">
        <v>5445600</v>
      </c>
      <c r="U49" s="68">
        <v>453800</v>
      </c>
      <c r="V49" s="68">
        <v>453800</v>
      </c>
      <c r="W49" s="68">
        <v>453800</v>
      </c>
      <c r="X49" s="68">
        <v>453800</v>
      </c>
      <c r="Y49" s="68">
        <v>453800</v>
      </c>
      <c r="Z49" s="68">
        <v>453800</v>
      </c>
      <c r="AA49" s="68">
        <v>453800</v>
      </c>
      <c r="AB49" s="68">
        <v>453800</v>
      </c>
      <c r="AC49" s="68">
        <v>453800</v>
      </c>
      <c r="AD49" s="68">
        <v>453800</v>
      </c>
      <c r="AE49" s="68">
        <v>453800</v>
      </c>
      <c r="AF49" s="68">
        <v>453800</v>
      </c>
      <c r="AG49" s="85" t="s">
        <v>51</v>
      </c>
      <c r="AH49" s="66">
        <v>5412600</v>
      </c>
      <c r="AI49" s="68">
        <v>447200</v>
      </c>
      <c r="AJ49" s="68">
        <v>447200</v>
      </c>
      <c r="AK49" s="68">
        <v>447200</v>
      </c>
      <c r="AL49" s="68">
        <v>447200</v>
      </c>
      <c r="AM49" s="68">
        <v>447200</v>
      </c>
      <c r="AN49" s="68">
        <v>453800</v>
      </c>
      <c r="AO49" s="68">
        <v>453800</v>
      </c>
      <c r="AP49" s="68">
        <v>453800</v>
      </c>
      <c r="AQ49" s="68">
        <v>453800</v>
      </c>
      <c r="AR49" s="68">
        <v>453800</v>
      </c>
      <c r="AS49" s="68">
        <v>453800</v>
      </c>
      <c r="AT49" s="68">
        <v>453800</v>
      </c>
      <c r="AU49" s="70"/>
      <c r="AV49" s="66">
        <v>5445600</v>
      </c>
      <c r="AW49" s="67">
        <v>453800</v>
      </c>
      <c r="AX49" s="67">
        <v>453800</v>
      </c>
      <c r="AY49" s="67">
        <v>453800</v>
      </c>
      <c r="AZ49" s="67">
        <v>453800</v>
      </c>
      <c r="BA49" s="67">
        <v>453800</v>
      </c>
      <c r="BB49" s="67">
        <v>453800</v>
      </c>
      <c r="BC49" s="231">
        <v>453800</v>
      </c>
      <c r="BD49" s="231">
        <v>453800</v>
      </c>
      <c r="BE49" s="231">
        <v>453800</v>
      </c>
      <c r="BF49" s="67">
        <v>453800</v>
      </c>
      <c r="BG49" s="67">
        <v>453800</v>
      </c>
      <c r="BH49" s="67">
        <v>453800</v>
      </c>
      <c r="BI49" s="67"/>
      <c r="BJ49" s="66">
        <v>5445600</v>
      </c>
      <c r="BK49" s="68">
        <v>453800</v>
      </c>
      <c r="BL49" s="68">
        <v>453800</v>
      </c>
      <c r="BM49" s="68">
        <v>453800</v>
      </c>
      <c r="BN49" s="68">
        <v>453800</v>
      </c>
      <c r="BO49" s="68">
        <v>453800</v>
      </c>
      <c r="BP49" s="68">
        <v>453800</v>
      </c>
      <c r="BQ49" s="68">
        <v>453800</v>
      </c>
      <c r="BR49" s="68">
        <v>453800</v>
      </c>
      <c r="BS49" s="68">
        <v>453800</v>
      </c>
      <c r="BT49" s="68">
        <v>453800</v>
      </c>
      <c r="BU49" s="68">
        <v>453800</v>
      </c>
      <c r="BV49" s="68">
        <v>453800</v>
      </c>
      <c r="BW49" s="85"/>
      <c r="BX49" s="66"/>
      <c r="BY49" s="67"/>
      <c r="BZ49" s="67"/>
      <c r="CA49" s="67"/>
      <c r="CB49" s="67"/>
      <c r="CC49" s="67"/>
      <c r="CD49" s="67"/>
      <c r="CE49" s="231"/>
      <c r="CF49" s="231"/>
      <c r="CG49" s="231"/>
      <c r="CH49" s="67"/>
      <c r="CI49" s="67"/>
      <c r="CJ49" s="67"/>
      <c r="CK49" s="67"/>
      <c r="CL49" s="66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85"/>
    </row>
    <row r="50" spans="1:103" s="71" customFormat="1" ht="19.5" customHeight="1" outlineLevel="1">
      <c r="A50" s="62"/>
      <c r="B50" s="55" t="s">
        <v>61</v>
      </c>
      <c r="C50" s="83"/>
      <c r="D50" s="84" t="s">
        <v>63</v>
      </c>
      <c r="E50" s="84" t="s">
        <v>63</v>
      </c>
      <c r="F50" s="66">
        <v>12330000</v>
      </c>
      <c r="G50" s="67">
        <v>1027500</v>
      </c>
      <c r="H50" s="67">
        <v>1027500</v>
      </c>
      <c r="I50" s="67">
        <v>1027500</v>
      </c>
      <c r="J50" s="67">
        <v>1027500</v>
      </c>
      <c r="K50" s="67">
        <v>1027500</v>
      </c>
      <c r="L50" s="67">
        <v>1027500</v>
      </c>
      <c r="M50" s="231">
        <v>1027500</v>
      </c>
      <c r="N50" s="231">
        <v>1027500</v>
      </c>
      <c r="O50" s="231">
        <v>1027500</v>
      </c>
      <c r="P50" s="67">
        <v>1027500</v>
      </c>
      <c r="Q50" s="67">
        <v>1027500</v>
      </c>
      <c r="R50" s="67">
        <v>1027500</v>
      </c>
      <c r="S50" s="67">
        <v>12330000</v>
      </c>
      <c r="T50" s="66">
        <v>12330000</v>
      </c>
      <c r="U50" s="68">
        <v>1027500</v>
      </c>
      <c r="V50" s="68">
        <v>1027500</v>
      </c>
      <c r="W50" s="68">
        <v>1027500</v>
      </c>
      <c r="X50" s="68">
        <v>1027500</v>
      </c>
      <c r="Y50" s="68">
        <v>1027500</v>
      </c>
      <c r="Z50" s="68">
        <v>1027500</v>
      </c>
      <c r="AA50" s="68">
        <v>1027500</v>
      </c>
      <c r="AB50" s="68">
        <v>1027500</v>
      </c>
      <c r="AC50" s="68">
        <v>1027500</v>
      </c>
      <c r="AD50" s="68">
        <v>1027500</v>
      </c>
      <c r="AE50" s="68">
        <v>1027500</v>
      </c>
      <c r="AF50" s="68">
        <v>1027500</v>
      </c>
      <c r="AG50" s="85" t="s">
        <v>51</v>
      </c>
      <c r="AH50" s="66">
        <v>12455000</v>
      </c>
      <c r="AI50" s="68">
        <v>1152500</v>
      </c>
      <c r="AJ50" s="68">
        <v>1027500</v>
      </c>
      <c r="AK50" s="68">
        <v>1027500</v>
      </c>
      <c r="AL50" s="68">
        <v>1027500</v>
      </c>
      <c r="AM50" s="68">
        <v>1027500</v>
      </c>
      <c r="AN50" s="68">
        <v>1027500</v>
      </c>
      <c r="AO50" s="68">
        <v>1027500</v>
      </c>
      <c r="AP50" s="68">
        <v>1027500</v>
      </c>
      <c r="AQ50" s="68">
        <v>1027500</v>
      </c>
      <c r="AR50" s="68">
        <v>1027500</v>
      </c>
      <c r="AS50" s="68">
        <v>1027500</v>
      </c>
      <c r="AT50" s="68">
        <v>1027500</v>
      </c>
      <c r="AU50" s="70"/>
      <c r="AV50" s="66">
        <v>22330000</v>
      </c>
      <c r="AW50" s="67">
        <v>1027500</v>
      </c>
      <c r="AX50" s="67">
        <v>1027500</v>
      </c>
      <c r="AY50" s="67">
        <v>1027500</v>
      </c>
      <c r="AZ50" s="67">
        <v>11027500</v>
      </c>
      <c r="BA50" s="67">
        <v>1027500</v>
      </c>
      <c r="BB50" s="67">
        <v>1027500</v>
      </c>
      <c r="BC50" s="231">
        <v>1027500</v>
      </c>
      <c r="BD50" s="231">
        <v>1027500</v>
      </c>
      <c r="BE50" s="231">
        <v>1027500</v>
      </c>
      <c r="BF50" s="67">
        <v>1027500</v>
      </c>
      <c r="BG50" s="67">
        <v>1027500</v>
      </c>
      <c r="BH50" s="67">
        <v>1027500</v>
      </c>
      <c r="BI50" s="67"/>
      <c r="BJ50" s="66">
        <v>22330000</v>
      </c>
      <c r="BK50" s="68">
        <v>1027500</v>
      </c>
      <c r="BL50" s="68">
        <v>1027500</v>
      </c>
      <c r="BM50" s="68">
        <v>1027500</v>
      </c>
      <c r="BN50" s="68">
        <v>11027500</v>
      </c>
      <c r="BO50" s="68">
        <v>1027500</v>
      </c>
      <c r="BP50" s="68">
        <v>1027500</v>
      </c>
      <c r="BQ50" s="68">
        <v>1027500</v>
      </c>
      <c r="BR50" s="68">
        <v>1027500</v>
      </c>
      <c r="BS50" s="68">
        <v>1027500</v>
      </c>
      <c r="BT50" s="68">
        <v>1027500</v>
      </c>
      <c r="BU50" s="68">
        <v>1027500</v>
      </c>
      <c r="BV50" s="68">
        <v>1027500</v>
      </c>
      <c r="BW50" s="85"/>
      <c r="BX50" s="66"/>
      <c r="BY50" s="67"/>
      <c r="BZ50" s="67"/>
      <c r="CA50" s="67"/>
      <c r="CB50" s="67"/>
      <c r="CC50" s="67"/>
      <c r="CD50" s="67"/>
      <c r="CE50" s="231"/>
      <c r="CF50" s="231"/>
      <c r="CG50" s="231"/>
      <c r="CH50" s="67"/>
      <c r="CI50" s="67"/>
      <c r="CJ50" s="67"/>
      <c r="CK50" s="67"/>
      <c r="CL50" s="66"/>
      <c r="CM50" s="68"/>
      <c r="CN50" s="68"/>
      <c r="CO50" s="68"/>
      <c r="CP50" s="68"/>
      <c r="CQ50" s="68"/>
      <c r="CR50" s="68"/>
      <c r="CS50" s="68"/>
      <c r="CT50" s="68"/>
      <c r="CU50" s="68"/>
      <c r="CV50" s="68"/>
      <c r="CW50" s="68"/>
      <c r="CX50" s="68"/>
      <c r="CY50" s="85"/>
    </row>
    <row r="51" spans="1:103" s="71" customFormat="1" ht="19.5" customHeight="1" outlineLevel="1">
      <c r="A51" s="62"/>
      <c r="B51" s="55" t="s">
        <v>61</v>
      </c>
      <c r="C51" s="83"/>
      <c r="D51" s="84" t="s">
        <v>64</v>
      </c>
      <c r="E51" s="84" t="s">
        <v>64</v>
      </c>
      <c r="F51" s="66">
        <v>2924500</v>
      </c>
      <c r="G51" s="67">
        <v>224750</v>
      </c>
      <c r="H51" s="67">
        <v>224750</v>
      </c>
      <c r="I51" s="67">
        <v>2475000</v>
      </c>
      <c r="J51" s="67">
        <v>0</v>
      </c>
      <c r="K51" s="67">
        <v>0</v>
      </c>
      <c r="L51" s="67">
        <v>0</v>
      </c>
      <c r="M51" s="231">
        <v>0</v>
      </c>
      <c r="N51" s="231">
        <v>0</v>
      </c>
      <c r="O51" s="231">
        <v>0</v>
      </c>
      <c r="P51" s="67">
        <v>0</v>
      </c>
      <c r="Q51" s="67">
        <v>0</v>
      </c>
      <c r="R51" s="67">
        <v>0</v>
      </c>
      <c r="S51" s="67">
        <v>449500</v>
      </c>
      <c r="T51" s="66">
        <v>2924500</v>
      </c>
      <c r="U51" s="68">
        <v>224750</v>
      </c>
      <c r="V51" s="68">
        <v>224750</v>
      </c>
      <c r="W51" s="86">
        <v>2475000</v>
      </c>
      <c r="X51" s="68">
        <v>0</v>
      </c>
      <c r="Y51" s="68">
        <v>0</v>
      </c>
      <c r="Z51" s="68">
        <v>0</v>
      </c>
      <c r="AA51" s="68">
        <v>0</v>
      </c>
      <c r="AB51" s="68">
        <v>0</v>
      </c>
      <c r="AC51" s="68">
        <v>0</v>
      </c>
      <c r="AD51" s="68">
        <v>0</v>
      </c>
      <c r="AE51" s="68">
        <v>0</v>
      </c>
      <c r="AF51" s="68">
        <v>0</v>
      </c>
      <c r="AG51" s="85" t="s">
        <v>51</v>
      </c>
      <c r="AH51" s="66">
        <v>2247500</v>
      </c>
      <c r="AI51" s="68">
        <v>0</v>
      </c>
      <c r="AJ51" s="68">
        <v>0</v>
      </c>
      <c r="AK51" s="68">
        <v>224750</v>
      </c>
      <c r="AL51" s="68">
        <v>224750</v>
      </c>
      <c r="AM51" s="68">
        <v>224750</v>
      </c>
      <c r="AN51" s="68">
        <v>224750</v>
      </c>
      <c r="AO51" s="68">
        <v>224750</v>
      </c>
      <c r="AP51" s="68">
        <v>224750</v>
      </c>
      <c r="AQ51" s="68">
        <v>224750</v>
      </c>
      <c r="AR51" s="68">
        <v>224750</v>
      </c>
      <c r="AS51" s="68">
        <v>224750</v>
      </c>
      <c r="AT51" s="68">
        <v>224750</v>
      </c>
      <c r="AU51" s="70"/>
      <c r="AV51" s="66">
        <v>2475000</v>
      </c>
      <c r="AW51" s="67"/>
      <c r="AX51" s="67"/>
      <c r="AY51" s="67">
        <v>2475000</v>
      </c>
      <c r="AZ51" s="67"/>
      <c r="BA51" s="67"/>
      <c r="BB51" s="67"/>
      <c r="BC51" s="231"/>
      <c r="BD51" s="231"/>
      <c r="BE51" s="231"/>
      <c r="BF51" s="67"/>
      <c r="BG51" s="67"/>
      <c r="BH51" s="67"/>
      <c r="BI51" s="67"/>
      <c r="BJ51" s="66">
        <v>2475000</v>
      </c>
      <c r="BK51" s="68"/>
      <c r="BL51" s="68"/>
      <c r="BM51" s="86">
        <v>2475000</v>
      </c>
      <c r="BN51" s="68"/>
      <c r="BO51" s="68"/>
      <c r="BP51" s="68"/>
      <c r="BQ51" s="68"/>
      <c r="BR51" s="68"/>
      <c r="BS51" s="68"/>
      <c r="BT51" s="68"/>
      <c r="BU51" s="68"/>
      <c r="BV51" s="68"/>
      <c r="BW51" s="85"/>
      <c r="BX51" s="66"/>
      <c r="BY51" s="67"/>
      <c r="BZ51" s="67"/>
      <c r="CA51" s="67"/>
      <c r="CB51" s="67"/>
      <c r="CC51" s="67"/>
      <c r="CD51" s="67"/>
      <c r="CE51" s="231"/>
      <c r="CF51" s="231"/>
      <c r="CG51" s="231"/>
      <c r="CH51" s="67"/>
      <c r="CI51" s="67"/>
      <c r="CJ51" s="67"/>
      <c r="CK51" s="67"/>
      <c r="CL51" s="66"/>
      <c r="CM51" s="68"/>
      <c r="CN51" s="68"/>
      <c r="CO51" s="86"/>
      <c r="CP51" s="68"/>
      <c r="CQ51" s="68"/>
      <c r="CR51" s="68"/>
      <c r="CS51" s="68"/>
      <c r="CT51" s="68"/>
      <c r="CU51" s="68"/>
      <c r="CV51" s="68"/>
      <c r="CW51" s="68"/>
      <c r="CX51" s="68"/>
      <c r="CY51" s="85"/>
    </row>
    <row r="52" spans="1:103" s="71" customFormat="1" ht="19.5" customHeight="1" outlineLevel="1">
      <c r="A52" s="62"/>
      <c r="B52" s="55" t="s">
        <v>61</v>
      </c>
      <c r="C52" s="83"/>
      <c r="D52" s="84" t="s">
        <v>65</v>
      </c>
      <c r="E52" s="246" t="s">
        <v>480</v>
      </c>
      <c r="F52" s="66">
        <v>11106199</v>
      </c>
      <c r="G52" s="67">
        <v>2324868</v>
      </c>
      <c r="H52" s="67">
        <v>2324876</v>
      </c>
      <c r="I52" s="67">
        <v>1939148</v>
      </c>
      <c r="J52" s="67">
        <v>501923</v>
      </c>
      <c r="K52" s="67">
        <v>501923</v>
      </c>
      <c r="L52" s="67">
        <v>501923</v>
      </c>
      <c r="M52" s="231">
        <v>501923</v>
      </c>
      <c r="N52" s="231">
        <v>501923</v>
      </c>
      <c r="O52" s="231">
        <v>501923</v>
      </c>
      <c r="P52" s="67">
        <v>501923</v>
      </c>
      <c r="Q52" s="67">
        <v>501923</v>
      </c>
      <c r="R52" s="67">
        <v>501923</v>
      </c>
      <c r="S52" s="67">
        <v>33030199</v>
      </c>
      <c r="T52" s="66">
        <v>36162199</v>
      </c>
      <c r="U52" s="68">
        <v>2324868</v>
      </c>
      <c r="V52" s="68">
        <v>2324876</v>
      </c>
      <c r="W52" s="68">
        <v>1939148</v>
      </c>
      <c r="X52" s="68">
        <v>501923</v>
      </c>
      <c r="Y52" s="68">
        <v>3633923</v>
      </c>
      <c r="Z52" s="68">
        <v>3633923</v>
      </c>
      <c r="AA52" s="68">
        <v>3633923</v>
      </c>
      <c r="AB52" s="68">
        <v>3633923</v>
      </c>
      <c r="AC52" s="68">
        <v>3633923</v>
      </c>
      <c r="AD52" s="68">
        <v>3633923</v>
      </c>
      <c r="AE52" s="68">
        <v>3633923</v>
      </c>
      <c r="AF52" s="68">
        <v>3633923</v>
      </c>
      <c r="AG52" s="85" t="s">
        <v>51</v>
      </c>
      <c r="AH52" s="66">
        <v>27898416</v>
      </c>
      <c r="AI52" s="68">
        <v>2324868</v>
      </c>
      <c r="AJ52" s="68">
        <v>2324868</v>
      </c>
      <c r="AK52" s="68">
        <v>2324868</v>
      </c>
      <c r="AL52" s="68">
        <v>2324868</v>
      </c>
      <c r="AM52" s="68">
        <v>2324868</v>
      </c>
      <c r="AN52" s="68">
        <v>2324868</v>
      </c>
      <c r="AO52" s="68">
        <v>2324868</v>
      </c>
      <c r="AP52" s="68">
        <v>2324868</v>
      </c>
      <c r="AQ52" s="68">
        <v>2324868</v>
      </c>
      <c r="AR52" s="68">
        <v>2324868</v>
      </c>
      <c r="AS52" s="68">
        <v>2324868</v>
      </c>
      <c r="AT52" s="68">
        <v>2324868</v>
      </c>
      <c r="AU52" s="70"/>
      <c r="AV52" s="66">
        <v>1505769</v>
      </c>
      <c r="AW52" s="67">
        <v>501923</v>
      </c>
      <c r="AX52" s="67">
        <v>501923</v>
      </c>
      <c r="AY52" s="67">
        <v>501923</v>
      </c>
      <c r="AZ52" s="67">
        <v>0</v>
      </c>
      <c r="BA52" s="67">
        <v>0</v>
      </c>
      <c r="BB52" s="67">
        <v>0</v>
      </c>
      <c r="BC52" s="231">
        <v>0</v>
      </c>
      <c r="BD52" s="231">
        <v>0</v>
      </c>
      <c r="BE52" s="231">
        <v>0</v>
      </c>
      <c r="BF52" s="67">
        <v>0</v>
      </c>
      <c r="BG52" s="67">
        <v>0</v>
      </c>
      <c r="BH52" s="67">
        <v>0</v>
      </c>
      <c r="BI52" s="67"/>
      <c r="BJ52" s="66">
        <v>1505769</v>
      </c>
      <c r="BK52" s="68">
        <v>501923</v>
      </c>
      <c r="BL52" s="68">
        <v>501923</v>
      </c>
      <c r="BM52" s="68">
        <v>501923</v>
      </c>
      <c r="BN52" s="68">
        <v>0</v>
      </c>
      <c r="BO52" s="68">
        <v>0</v>
      </c>
      <c r="BP52" s="68">
        <v>0</v>
      </c>
      <c r="BQ52" s="68">
        <v>0</v>
      </c>
      <c r="BR52" s="68">
        <v>0</v>
      </c>
      <c r="BS52" s="68">
        <v>0</v>
      </c>
      <c r="BT52" s="68">
        <v>0</v>
      </c>
      <c r="BU52" s="68">
        <v>0</v>
      </c>
      <c r="BV52" s="68">
        <v>0</v>
      </c>
      <c r="BW52" s="85"/>
      <c r="BX52" s="66"/>
      <c r="BY52" s="67"/>
      <c r="BZ52" s="67"/>
      <c r="CA52" s="67"/>
      <c r="CB52" s="67"/>
      <c r="CC52" s="67"/>
      <c r="CD52" s="67"/>
      <c r="CE52" s="231"/>
      <c r="CF52" s="231"/>
      <c r="CG52" s="231"/>
      <c r="CH52" s="67"/>
      <c r="CI52" s="67"/>
      <c r="CJ52" s="67"/>
      <c r="CK52" s="67"/>
      <c r="CL52" s="66"/>
      <c r="CM52" s="68"/>
      <c r="CN52" s="68"/>
      <c r="CO52" s="68"/>
      <c r="CP52" s="68"/>
      <c r="CQ52" s="68"/>
      <c r="CR52" s="68"/>
      <c r="CS52" s="68"/>
      <c r="CT52" s="68"/>
      <c r="CU52" s="68"/>
      <c r="CV52" s="68"/>
      <c r="CW52" s="68"/>
      <c r="CX52" s="68"/>
      <c r="CY52" s="85"/>
    </row>
    <row r="53" spans="1:103" s="71" customFormat="1" ht="19.5" customHeight="1" outlineLevel="1">
      <c r="A53" s="62"/>
      <c r="B53" s="55" t="s">
        <v>61</v>
      </c>
      <c r="C53" s="83"/>
      <c r="D53" s="84" t="s">
        <v>66</v>
      </c>
      <c r="E53" s="84" t="s">
        <v>66</v>
      </c>
      <c r="F53" s="66">
        <v>43595000</v>
      </c>
      <c r="G53" s="67">
        <v>3257000</v>
      </c>
      <c r="H53" s="67">
        <v>3257000</v>
      </c>
      <c r="I53" s="67">
        <v>3257000</v>
      </c>
      <c r="J53" s="67">
        <v>3257000</v>
      </c>
      <c r="K53" s="67">
        <v>3257000</v>
      </c>
      <c r="L53" s="67">
        <v>3257000</v>
      </c>
      <c r="M53" s="231">
        <v>3257000</v>
      </c>
      <c r="N53" s="231">
        <v>3257000</v>
      </c>
      <c r="O53" s="231">
        <v>3257000</v>
      </c>
      <c r="P53" s="67">
        <v>3257000</v>
      </c>
      <c r="Q53" s="67">
        <v>5512500</v>
      </c>
      <c r="R53" s="67">
        <v>5512500</v>
      </c>
      <c r="S53" s="67">
        <v>39084000</v>
      </c>
      <c r="T53" s="66">
        <v>39084000</v>
      </c>
      <c r="U53" s="68">
        <v>3257000</v>
      </c>
      <c r="V53" s="68">
        <v>3257000</v>
      </c>
      <c r="W53" s="68">
        <v>3257000</v>
      </c>
      <c r="X53" s="68">
        <v>3257000</v>
      </c>
      <c r="Y53" s="68">
        <v>3257000</v>
      </c>
      <c r="Z53" s="68">
        <v>3257000</v>
      </c>
      <c r="AA53" s="68">
        <v>3257000</v>
      </c>
      <c r="AB53" s="68">
        <v>3257000</v>
      </c>
      <c r="AC53" s="68">
        <v>3257000</v>
      </c>
      <c r="AD53" s="68">
        <v>3257000</v>
      </c>
      <c r="AE53" s="68">
        <v>3257000</v>
      </c>
      <c r="AF53" s="68">
        <v>3257000</v>
      </c>
      <c r="AG53" s="85" t="s">
        <v>51</v>
      </c>
      <c r="AH53" s="66">
        <v>49714000</v>
      </c>
      <c r="AI53" s="68">
        <v>4320000</v>
      </c>
      <c r="AJ53" s="68">
        <v>4320000</v>
      </c>
      <c r="AK53" s="68">
        <v>4320000</v>
      </c>
      <c r="AL53" s="68">
        <v>4320000</v>
      </c>
      <c r="AM53" s="68">
        <v>4320000</v>
      </c>
      <c r="AN53" s="68">
        <v>4320000</v>
      </c>
      <c r="AO53" s="68">
        <v>4320000</v>
      </c>
      <c r="AP53" s="68">
        <v>4320000</v>
      </c>
      <c r="AQ53" s="68">
        <v>4320000</v>
      </c>
      <c r="AR53" s="68">
        <v>4320000</v>
      </c>
      <c r="AS53" s="68">
        <v>3257000</v>
      </c>
      <c r="AT53" s="68">
        <v>3257000</v>
      </c>
      <c r="AU53" s="70"/>
      <c r="AV53" s="66">
        <v>66150000</v>
      </c>
      <c r="AW53" s="67">
        <v>5512500</v>
      </c>
      <c r="AX53" s="67">
        <v>5512500</v>
      </c>
      <c r="AY53" s="67">
        <v>5512500</v>
      </c>
      <c r="AZ53" s="67">
        <v>5512500</v>
      </c>
      <c r="BA53" s="67">
        <v>5512500</v>
      </c>
      <c r="BB53" s="67">
        <v>5512500</v>
      </c>
      <c r="BC53" s="231">
        <v>5512500</v>
      </c>
      <c r="BD53" s="231">
        <v>5512500</v>
      </c>
      <c r="BE53" s="231">
        <v>5512500</v>
      </c>
      <c r="BF53" s="67">
        <v>5512500</v>
      </c>
      <c r="BG53" s="67">
        <v>5512500</v>
      </c>
      <c r="BH53" s="67">
        <v>5512500</v>
      </c>
      <c r="BI53" s="67"/>
      <c r="BJ53" s="66">
        <v>66150000</v>
      </c>
      <c r="BK53" s="68">
        <v>5512500</v>
      </c>
      <c r="BL53" s="68">
        <v>5512500</v>
      </c>
      <c r="BM53" s="68">
        <v>5512500</v>
      </c>
      <c r="BN53" s="68">
        <v>5512500</v>
      </c>
      <c r="BO53" s="68">
        <v>5512500</v>
      </c>
      <c r="BP53" s="68">
        <v>5512500</v>
      </c>
      <c r="BQ53" s="68">
        <v>5512500</v>
      </c>
      <c r="BR53" s="68">
        <v>5512500</v>
      </c>
      <c r="BS53" s="68">
        <v>5512500</v>
      </c>
      <c r="BT53" s="68">
        <v>5512500</v>
      </c>
      <c r="BU53" s="68">
        <v>5512500</v>
      </c>
      <c r="BV53" s="68">
        <v>5512500</v>
      </c>
      <c r="BW53" s="85"/>
      <c r="BX53" s="66"/>
      <c r="BY53" s="67"/>
      <c r="BZ53" s="67"/>
      <c r="CA53" s="67"/>
      <c r="CB53" s="67"/>
      <c r="CC53" s="67"/>
      <c r="CD53" s="67"/>
      <c r="CE53" s="231"/>
      <c r="CF53" s="231"/>
      <c r="CG53" s="231"/>
      <c r="CH53" s="67"/>
      <c r="CI53" s="67"/>
      <c r="CJ53" s="67"/>
      <c r="CK53" s="67"/>
      <c r="CL53" s="66"/>
      <c r="CM53" s="68"/>
      <c r="CN53" s="68"/>
      <c r="CO53" s="68"/>
      <c r="CP53" s="68"/>
      <c r="CQ53" s="68"/>
      <c r="CR53" s="68"/>
      <c r="CS53" s="68"/>
      <c r="CT53" s="68"/>
      <c r="CU53" s="68"/>
      <c r="CV53" s="68"/>
      <c r="CW53" s="68"/>
      <c r="CX53" s="68"/>
      <c r="CY53" s="85"/>
    </row>
    <row r="54" spans="1:103" s="71" customFormat="1" ht="19.5" customHeight="1" outlineLevel="1">
      <c r="A54" s="62"/>
      <c r="B54" s="55" t="s">
        <v>61</v>
      </c>
      <c r="C54" s="83"/>
      <c r="D54" s="84" t="s">
        <v>67</v>
      </c>
      <c r="E54" s="84" t="s">
        <v>67</v>
      </c>
      <c r="F54" s="66">
        <v>19834282</v>
      </c>
      <c r="G54" s="67">
        <v>1500000</v>
      </c>
      <c r="H54" s="67">
        <v>1568571</v>
      </c>
      <c r="I54" s="67">
        <v>1568571</v>
      </c>
      <c r="J54" s="67">
        <v>1568571</v>
      </c>
      <c r="K54" s="67">
        <v>1568571</v>
      </c>
      <c r="L54" s="67">
        <v>2185714</v>
      </c>
      <c r="M54" s="231">
        <v>1645714</v>
      </c>
      <c r="N54" s="231">
        <v>1645714</v>
      </c>
      <c r="O54" s="231">
        <v>1645714</v>
      </c>
      <c r="P54" s="67">
        <v>1645714</v>
      </c>
      <c r="Q54" s="67">
        <v>1645714</v>
      </c>
      <c r="R54" s="67">
        <v>1645714</v>
      </c>
      <c r="S54" s="67">
        <v>19294281</v>
      </c>
      <c r="T54" s="66">
        <v>19294281</v>
      </c>
      <c r="U54" s="68">
        <v>1500000</v>
      </c>
      <c r="V54" s="68">
        <v>1568571</v>
      </c>
      <c r="W54" s="68">
        <v>1568571</v>
      </c>
      <c r="X54" s="68">
        <v>1568571</v>
      </c>
      <c r="Y54" s="68">
        <v>1568571</v>
      </c>
      <c r="Z54" s="68">
        <v>2108571</v>
      </c>
      <c r="AA54" s="68">
        <v>1568571</v>
      </c>
      <c r="AB54" s="68">
        <v>1568571</v>
      </c>
      <c r="AC54" s="68">
        <v>1568571</v>
      </c>
      <c r="AD54" s="68">
        <v>1568571</v>
      </c>
      <c r="AE54" s="68">
        <v>1568571</v>
      </c>
      <c r="AF54" s="68">
        <v>1568571</v>
      </c>
      <c r="AG54" s="85" t="s">
        <v>51</v>
      </c>
      <c r="AH54" s="66">
        <v>16920000</v>
      </c>
      <c r="AI54" s="68">
        <v>960000</v>
      </c>
      <c r="AJ54" s="68">
        <v>960000</v>
      </c>
      <c r="AK54" s="68">
        <v>1500000</v>
      </c>
      <c r="AL54" s="68">
        <v>1500000</v>
      </c>
      <c r="AM54" s="68">
        <v>1500000</v>
      </c>
      <c r="AN54" s="68">
        <v>1500000</v>
      </c>
      <c r="AO54" s="68">
        <v>1500000</v>
      </c>
      <c r="AP54" s="68">
        <v>1500000</v>
      </c>
      <c r="AQ54" s="68">
        <v>1500000</v>
      </c>
      <c r="AR54" s="68">
        <v>1500000</v>
      </c>
      <c r="AS54" s="68">
        <v>1500000</v>
      </c>
      <c r="AT54" s="68">
        <v>1500000</v>
      </c>
      <c r="AU54" s="70"/>
      <c r="AV54" s="66">
        <v>19748568</v>
      </c>
      <c r="AW54" s="67">
        <v>1645714</v>
      </c>
      <c r="AX54" s="67">
        <v>1645714</v>
      </c>
      <c r="AY54" s="67">
        <v>1645714</v>
      </c>
      <c r="AZ54" s="67">
        <v>1645714</v>
      </c>
      <c r="BA54" s="67">
        <v>1645714</v>
      </c>
      <c r="BB54" s="67">
        <v>1645714</v>
      </c>
      <c r="BC54" s="231">
        <v>1645714</v>
      </c>
      <c r="BD54" s="231">
        <v>1645714</v>
      </c>
      <c r="BE54" s="231">
        <v>1645714</v>
      </c>
      <c r="BF54" s="67">
        <v>1645714</v>
      </c>
      <c r="BG54" s="67">
        <v>1645714</v>
      </c>
      <c r="BH54" s="67">
        <v>1645714</v>
      </c>
      <c r="BI54" s="67"/>
      <c r="BJ54" s="66">
        <v>19748568</v>
      </c>
      <c r="BK54" s="68">
        <v>1645714</v>
      </c>
      <c r="BL54" s="68">
        <v>1645714</v>
      </c>
      <c r="BM54" s="68">
        <v>1645714</v>
      </c>
      <c r="BN54" s="68">
        <v>1645714</v>
      </c>
      <c r="BO54" s="68">
        <v>1645714</v>
      </c>
      <c r="BP54" s="68">
        <v>1645714</v>
      </c>
      <c r="BQ54" s="68">
        <v>1645714</v>
      </c>
      <c r="BR54" s="68">
        <v>1645714</v>
      </c>
      <c r="BS54" s="68">
        <v>1645714</v>
      </c>
      <c r="BT54" s="68">
        <v>1645714</v>
      </c>
      <c r="BU54" s="68">
        <v>1645714</v>
      </c>
      <c r="BV54" s="68">
        <v>1645714</v>
      </c>
      <c r="BW54" s="85"/>
      <c r="BX54" s="66"/>
      <c r="BY54" s="67"/>
      <c r="BZ54" s="67"/>
      <c r="CA54" s="67"/>
      <c r="CB54" s="67"/>
      <c r="CC54" s="67"/>
      <c r="CD54" s="67"/>
      <c r="CE54" s="231"/>
      <c r="CF54" s="231"/>
      <c r="CG54" s="231"/>
      <c r="CH54" s="67"/>
      <c r="CI54" s="67"/>
      <c r="CJ54" s="67"/>
      <c r="CK54" s="67"/>
      <c r="CL54" s="66"/>
      <c r="CM54" s="68"/>
      <c r="CN54" s="68"/>
      <c r="CO54" s="68"/>
      <c r="CP54" s="68"/>
      <c r="CQ54" s="68"/>
      <c r="CR54" s="68"/>
      <c r="CS54" s="68"/>
      <c r="CT54" s="68"/>
      <c r="CU54" s="68"/>
      <c r="CV54" s="68"/>
      <c r="CW54" s="68"/>
      <c r="CX54" s="68"/>
      <c r="CY54" s="85"/>
    </row>
    <row r="55" spans="1:103" s="71" customFormat="1" ht="19.5" customHeight="1" outlineLevel="1">
      <c r="A55" s="62"/>
      <c r="B55" s="55" t="s">
        <v>61</v>
      </c>
      <c r="C55" s="83"/>
      <c r="D55" s="84" t="s">
        <v>68</v>
      </c>
      <c r="E55" s="84" t="s">
        <v>68</v>
      </c>
      <c r="F55" s="66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231">
        <v>0</v>
      </c>
      <c r="N55" s="231">
        <v>0</v>
      </c>
      <c r="O55" s="231">
        <v>0</v>
      </c>
      <c r="P55" s="67">
        <v>0</v>
      </c>
      <c r="Q55" s="67">
        <v>0</v>
      </c>
      <c r="R55" s="67">
        <v>0</v>
      </c>
      <c r="S55" s="67">
        <v>0</v>
      </c>
      <c r="T55" s="66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0</v>
      </c>
      <c r="AB55" s="68">
        <v>0</v>
      </c>
      <c r="AC55" s="68">
        <v>0</v>
      </c>
      <c r="AD55" s="68">
        <v>0</v>
      </c>
      <c r="AE55" s="68">
        <v>0</v>
      </c>
      <c r="AF55" s="68">
        <v>0</v>
      </c>
      <c r="AG55" s="85" t="s">
        <v>51</v>
      </c>
      <c r="AH55" s="66">
        <v>2500000</v>
      </c>
      <c r="AI55" s="68">
        <v>2500000</v>
      </c>
      <c r="AJ55" s="68">
        <v>0</v>
      </c>
      <c r="AK55" s="68">
        <v>0</v>
      </c>
      <c r="AL55" s="68">
        <v>0</v>
      </c>
      <c r="AM55" s="68">
        <v>0</v>
      </c>
      <c r="AN55" s="68">
        <v>0</v>
      </c>
      <c r="AO55" s="68">
        <v>0</v>
      </c>
      <c r="AP55" s="68">
        <v>0</v>
      </c>
      <c r="AQ55" s="68">
        <v>0</v>
      </c>
      <c r="AR55" s="68">
        <v>0</v>
      </c>
      <c r="AS55" s="68">
        <v>0</v>
      </c>
      <c r="AT55" s="68">
        <v>0</v>
      </c>
      <c r="AU55" s="70"/>
      <c r="AV55" s="66">
        <v>0</v>
      </c>
      <c r="AW55" s="67"/>
      <c r="AX55" s="67"/>
      <c r="AY55" s="67"/>
      <c r="AZ55" s="67"/>
      <c r="BA55" s="67"/>
      <c r="BB55" s="67"/>
      <c r="BC55" s="231"/>
      <c r="BD55" s="231"/>
      <c r="BE55" s="231"/>
      <c r="BF55" s="67"/>
      <c r="BG55" s="67"/>
      <c r="BH55" s="67"/>
      <c r="BI55" s="67"/>
      <c r="BJ55" s="66">
        <v>0</v>
      </c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85"/>
      <c r="BX55" s="66"/>
      <c r="BY55" s="67"/>
      <c r="BZ55" s="67"/>
      <c r="CA55" s="67"/>
      <c r="CB55" s="67"/>
      <c r="CC55" s="67"/>
      <c r="CD55" s="67"/>
      <c r="CE55" s="231"/>
      <c r="CF55" s="231"/>
      <c r="CG55" s="231"/>
      <c r="CH55" s="67"/>
      <c r="CI55" s="67"/>
      <c r="CJ55" s="67"/>
      <c r="CK55" s="67"/>
      <c r="CL55" s="66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85"/>
    </row>
    <row r="56" spans="1:103" s="71" customFormat="1" ht="19.5" customHeight="1" outlineLevel="1">
      <c r="A56" s="62"/>
      <c r="B56" s="55" t="s">
        <v>61</v>
      </c>
      <c r="C56" s="83"/>
      <c r="D56" s="84" t="s">
        <v>69</v>
      </c>
      <c r="E56" s="84" t="s">
        <v>69</v>
      </c>
      <c r="F56" s="66">
        <v>822800</v>
      </c>
      <c r="G56" s="67">
        <v>74800</v>
      </c>
      <c r="H56" s="67">
        <v>74800</v>
      </c>
      <c r="I56" s="67">
        <v>74800</v>
      </c>
      <c r="J56" s="67">
        <v>74800</v>
      </c>
      <c r="K56" s="67">
        <v>74800</v>
      </c>
      <c r="L56" s="67">
        <v>74800</v>
      </c>
      <c r="M56" s="231">
        <v>74800</v>
      </c>
      <c r="N56" s="231">
        <v>74800</v>
      </c>
      <c r="O56" s="231">
        <v>74800</v>
      </c>
      <c r="P56" s="67">
        <v>74800</v>
      </c>
      <c r="Q56" s="67">
        <v>74800</v>
      </c>
      <c r="R56" s="67">
        <v>0</v>
      </c>
      <c r="S56" s="67">
        <v>2062500</v>
      </c>
      <c r="T56" s="66">
        <v>897600</v>
      </c>
      <c r="U56" s="68">
        <v>74800</v>
      </c>
      <c r="V56" s="68">
        <v>74800</v>
      </c>
      <c r="W56" s="68">
        <v>74800</v>
      </c>
      <c r="X56" s="68">
        <v>74800</v>
      </c>
      <c r="Y56" s="68">
        <v>74800</v>
      </c>
      <c r="Z56" s="68">
        <v>74800</v>
      </c>
      <c r="AA56" s="68">
        <v>74800</v>
      </c>
      <c r="AB56" s="68">
        <v>74800</v>
      </c>
      <c r="AC56" s="68">
        <v>74800</v>
      </c>
      <c r="AD56" s="68">
        <v>74800</v>
      </c>
      <c r="AE56" s="68">
        <v>74800</v>
      </c>
      <c r="AF56" s="68">
        <v>74800</v>
      </c>
      <c r="AG56" s="85" t="s">
        <v>51</v>
      </c>
      <c r="AH56" s="66">
        <v>0</v>
      </c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70"/>
      <c r="AV56" s="66">
        <v>0</v>
      </c>
      <c r="AW56" s="67"/>
      <c r="AX56" s="67"/>
      <c r="AY56" s="67"/>
      <c r="AZ56" s="67"/>
      <c r="BA56" s="67"/>
      <c r="BB56" s="67"/>
      <c r="BC56" s="231"/>
      <c r="BD56" s="231"/>
      <c r="BE56" s="231"/>
      <c r="BF56" s="67"/>
      <c r="BG56" s="67"/>
      <c r="BH56" s="67"/>
      <c r="BI56" s="67"/>
      <c r="BJ56" s="66">
        <v>0</v>
      </c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85"/>
      <c r="BX56" s="66"/>
      <c r="BY56" s="67"/>
      <c r="BZ56" s="67"/>
      <c r="CA56" s="67"/>
      <c r="CB56" s="67"/>
      <c r="CC56" s="67"/>
      <c r="CD56" s="67"/>
      <c r="CE56" s="231"/>
      <c r="CF56" s="231"/>
      <c r="CG56" s="231"/>
      <c r="CH56" s="67"/>
      <c r="CI56" s="67"/>
      <c r="CJ56" s="67"/>
      <c r="CK56" s="67"/>
      <c r="CL56" s="66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85"/>
    </row>
    <row r="57" spans="1:103" s="71" customFormat="1" ht="19.5" customHeight="1" outlineLevel="1">
      <c r="A57" s="62"/>
      <c r="B57" s="55" t="s">
        <v>61</v>
      </c>
      <c r="C57" s="83"/>
      <c r="D57" s="84" t="s">
        <v>70</v>
      </c>
      <c r="E57" s="84" t="s">
        <v>70</v>
      </c>
      <c r="F57" s="66">
        <v>0</v>
      </c>
      <c r="G57" s="67">
        <v>0</v>
      </c>
      <c r="H57" s="67">
        <v>0</v>
      </c>
      <c r="I57" s="67">
        <v>0</v>
      </c>
      <c r="J57" s="67">
        <v>0</v>
      </c>
      <c r="K57" s="67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6">
        <v>33000003</v>
      </c>
      <c r="U57" s="68">
        <v>0</v>
      </c>
      <c r="V57" s="68">
        <v>0</v>
      </c>
      <c r="W57" s="68">
        <v>0</v>
      </c>
      <c r="X57" s="68">
        <v>3666667</v>
      </c>
      <c r="Y57" s="68">
        <v>3666667</v>
      </c>
      <c r="Z57" s="68">
        <v>3666667</v>
      </c>
      <c r="AA57" s="68">
        <v>3666667</v>
      </c>
      <c r="AB57" s="68">
        <v>3666667</v>
      </c>
      <c r="AC57" s="68">
        <v>3666667</v>
      </c>
      <c r="AD57" s="68">
        <v>3666667</v>
      </c>
      <c r="AE57" s="68">
        <v>3666667</v>
      </c>
      <c r="AF57" s="68">
        <v>3666667</v>
      </c>
      <c r="AG57" s="85" t="s">
        <v>51</v>
      </c>
      <c r="AH57" s="66">
        <v>0</v>
      </c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70"/>
      <c r="AV57" s="66">
        <v>0</v>
      </c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6">
        <v>0</v>
      </c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85"/>
      <c r="BX57" s="66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  <c r="CK57" s="67"/>
      <c r="CL57" s="66"/>
      <c r="CM57" s="68"/>
      <c r="CN57" s="68"/>
      <c r="CO57" s="68"/>
      <c r="CP57" s="68"/>
      <c r="CQ57" s="68"/>
      <c r="CR57" s="68"/>
      <c r="CS57" s="68"/>
      <c r="CT57" s="68"/>
      <c r="CU57" s="68"/>
      <c r="CV57" s="68"/>
      <c r="CW57" s="68"/>
      <c r="CX57" s="68"/>
      <c r="CY57" s="85"/>
    </row>
    <row r="58" spans="1:103" s="71" customFormat="1" ht="19.5" customHeight="1" outlineLevel="1">
      <c r="A58" s="62"/>
      <c r="B58" s="55" t="s">
        <v>61</v>
      </c>
      <c r="C58" s="83"/>
      <c r="D58" s="84" t="s">
        <v>71</v>
      </c>
      <c r="E58" s="84" t="s">
        <v>71</v>
      </c>
      <c r="F58" s="66">
        <v>0</v>
      </c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6">
        <v>0</v>
      </c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85" t="s">
        <v>72</v>
      </c>
      <c r="AH58" s="66">
        <v>1350000</v>
      </c>
      <c r="AI58" s="68">
        <v>0</v>
      </c>
      <c r="AJ58" s="68">
        <v>0</v>
      </c>
      <c r="AK58" s="68">
        <v>0</v>
      </c>
      <c r="AL58" s="68">
        <v>0</v>
      </c>
      <c r="AM58" s="68">
        <v>0</v>
      </c>
      <c r="AN58" s="68">
        <v>0</v>
      </c>
      <c r="AO58" s="68">
        <v>0</v>
      </c>
      <c r="AP58" s="68">
        <v>1350000</v>
      </c>
      <c r="AQ58" s="68">
        <v>0</v>
      </c>
      <c r="AR58" s="68">
        <v>0</v>
      </c>
      <c r="AS58" s="68">
        <v>0</v>
      </c>
      <c r="AT58" s="68">
        <v>0</v>
      </c>
      <c r="AU58" s="70"/>
      <c r="AV58" s="66">
        <v>0</v>
      </c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6">
        <v>0</v>
      </c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85"/>
      <c r="BX58" s="66"/>
      <c r="BY58" s="67"/>
      <c r="BZ58" s="67"/>
      <c r="CA58" s="67"/>
      <c r="CB58" s="67"/>
      <c r="CC58" s="67"/>
      <c r="CD58" s="67"/>
      <c r="CE58" s="67"/>
      <c r="CF58" s="67"/>
      <c r="CG58" s="67"/>
      <c r="CH58" s="67"/>
      <c r="CI58" s="67"/>
      <c r="CJ58" s="67"/>
      <c r="CK58" s="67"/>
      <c r="CL58" s="66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85"/>
    </row>
    <row r="59" spans="1:103" s="71" customFormat="1" ht="19.5" customHeight="1" outlineLevel="1">
      <c r="A59" s="62"/>
      <c r="B59" s="55" t="s">
        <v>61</v>
      </c>
      <c r="C59" s="83"/>
      <c r="D59" s="84" t="s">
        <v>73</v>
      </c>
      <c r="E59" s="84" t="s">
        <v>74</v>
      </c>
      <c r="F59" s="66">
        <v>0</v>
      </c>
      <c r="G59" s="67"/>
      <c r="H59" s="67"/>
      <c r="I59" s="67"/>
      <c r="J59" s="233"/>
      <c r="K59" s="233"/>
      <c r="L59" s="67"/>
      <c r="M59" s="67"/>
      <c r="N59" s="67"/>
      <c r="O59" s="67"/>
      <c r="P59" s="67"/>
      <c r="Q59" s="67"/>
      <c r="R59" s="67"/>
      <c r="S59" s="67">
        <v>2062500</v>
      </c>
      <c r="T59" s="66">
        <v>18562500</v>
      </c>
      <c r="U59" s="68">
        <v>0</v>
      </c>
      <c r="V59" s="68">
        <v>0</v>
      </c>
      <c r="W59" s="68">
        <v>0</v>
      </c>
      <c r="X59" s="68">
        <v>2062500</v>
      </c>
      <c r="Y59" s="68">
        <v>2062500</v>
      </c>
      <c r="Z59" s="68">
        <v>2062500</v>
      </c>
      <c r="AA59" s="68">
        <v>2062500</v>
      </c>
      <c r="AB59" s="68">
        <v>2062500</v>
      </c>
      <c r="AC59" s="68">
        <v>2062500</v>
      </c>
      <c r="AD59" s="68">
        <v>2062500</v>
      </c>
      <c r="AE59" s="68">
        <v>2062500</v>
      </c>
      <c r="AF59" s="68">
        <v>2062500</v>
      </c>
      <c r="AG59" s="85" t="s">
        <v>75</v>
      </c>
      <c r="AH59" s="66">
        <v>10160000</v>
      </c>
      <c r="AI59" s="68">
        <v>0</v>
      </c>
      <c r="AJ59" s="68">
        <v>0</v>
      </c>
      <c r="AK59" s="68">
        <v>10160000</v>
      </c>
      <c r="AL59" s="68">
        <v>0</v>
      </c>
      <c r="AM59" s="68">
        <v>0</v>
      </c>
      <c r="AN59" s="68">
        <v>0</v>
      </c>
      <c r="AO59" s="68">
        <v>0</v>
      </c>
      <c r="AP59" s="68">
        <v>0</v>
      </c>
      <c r="AQ59" s="68">
        <v>0</v>
      </c>
      <c r="AR59" s="68">
        <v>0</v>
      </c>
      <c r="AS59" s="68">
        <v>0</v>
      </c>
      <c r="AT59" s="68">
        <v>0</v>
      </c>
      <c r="AU59" s="70"/>
      <c r="AV59" s="66">
        <v>0</v>
      </c>
      <c r="AW59" s="67"/>
      <c r="AX59" s="67"/>
      <c r="AY59" s="67"/>
      <c r="AZ59" s="233"/>
      <c r="BA59" s="233"/>
      <c r="BB59" s="67"/>
      <c r="BC59" s="67"/>
      <c r="BD59" s="67"/>
      <c r="BE59" s="67"/>
      <c r="BF59" s="67"/>
      <c r="BG59" s="67"/>
      <c r="BH59" s="67"/>
      <c r="BI59" s="67"/>
      <c r="BJ59" s="66">
        <v>0</v>
      </c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85"/>
      <c r="BX59" s="66"/>
      <c r="BY59" s="67"/>
      <c r="BZ59" s="67"/>
      <c r="CA59" s="67"/>
      <c r="CB59" s="233"/>
      <c r="CC59" s="233"/>
      <c r="CD59" s="67"/>
      <c r="CE59" s="67"/>
      <c r="CF59" s="67"/>
      <c r="CG59" s="67"/>
      <c r="CH59" s="67"/>
      <c r="CI59" s="67"/>
      <c r="CJ59" s="67"/>
      <c r="CK59" s="67"/>
      <c r="CL59" s="66"/>
      <c r="CM59" s="68"/>
      <c r="CN59" s="68"/>
      <c r="CO59" s="68"/>
      <c r="CP59" s="68"/>
      <c r="CQ59" s="68"/>
      <c r="CR59" s="68"/>
      <c r="CS59" s="68"/>
      <c r="CT59" s="68"/>
      <c r="CU59" s="68"/>
      <c r="CV59" s="68"/>
      <c r="CW59" s="68"/>
      <c r="CX59" s="68"/>
      <c r="CY59" s="85"/>
    </row>
    <row r="60" spans="1:103" s="40" customFormat="1" ht="19.5" customHeight="1" outlineLevel="1">
      <c r="A60" s="41"/>
      <c r="B60" s="55" t="s">
        <v>61</v>
      </c>
      <c r="C60" s="76"/>
      <c r="D60" s="74" t="s">
        <v>76</v>
      </c>
      <c r="E60" s="74" t="s">
        <v>76</v>
      </c>
      <c r="F60" s="36">
        <v>22242667</v>
      </c>
      <c r="G60" s="29">
        <v>1548000</v>
      </c>
      <c r="H60" s="29">
        <v>0</v>
      </c>
      <c r="I60" s="29">
        <v>3588000</v>
      </c>
      <c r="J60" s="29">
        <v>0</v>
      </c>
      <c r="K60" s="29">
        <v>950000</v>
      </c>
      <c r="L60" s="29">
        <v>0</v>
      </c>
      <c r="M60" s="29">
        <v>0</v>
      </c>
      <c r="N60" s="29">
        <v>0</v>
      </c>
      <c r="O60" s="29">
        <v>10540000</v>
      </c>
      <c r="P60" s="29">
        <v>4200000</v>
      </c>
      <c r="Q60" s="29">
        <v>0</v>
      </c>
      <c r="R60" s="29">
        <v>1416667</v>
      </c>
      <c r="S60" s="29">
        <v>0</v>
      </c>
      <c r="T60" s="36">
        <v>1548000</v>
      </c>
      <c r="U60" s="37">
        <v>1548000</v>
      </c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59"/>
      <c r="AH60" s="36">
        <v>0</v>
      </c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9"/>
      <c r="AV60" s="36">
        <v>27453803</v>
      </c>
      <c r="AW60" s="29">
        <v>1416667</v>
      </c>
      <c r="AX60" s="29">
        <v>1416667</v>
      </c>
      <c r="AY60" s="29">
        <v>1416667</v>
      </c>
      <c r="AZ60" s="29">
        <v>1416667</v>
      </c>
      <c r="BA60" s="29">
        <v>5363467</v>
      </c>
      <c r="BB60" s="29">
        <v>1633667</v>
      </c>
      <c r="BC60" s="29">
        <v>1416667</v>
      </c>
      <c r="BD60" s="29">
        <v>1416667</v>
      </c>
      <c r="BE60" s="29">
        <v>11956667</v>
      </c>
      <c r="BF60" s="29"/>
      <c r="BG60" s="29"/>
      <c r="BH60" s="29"/>
      <c r="BI60" s="29"/>
      <c r="BJ60" s="36">
        <v>27453803</v>
      </c>
      <c r="BK60" s="37">
        <v>1416667</v>
      </c>
      <c r="BL60" s="37">
        <v>1416667</v>
      </c>
      <c r="BM60" s="37">
        <v>1416667</v>
      </c>
      <c r="BN60" s="37">
        <v>1416667</v>
      </c>
      <c r="BO60" s="37">
        <v>5363467</v>
      </c>
      <c r="BP60" s="37">
        <v>1633667</v>
      </c>
      <c r="BQ60" s="37">
        <v>1416667</v>
      </c>
      <c r="BR60" s="37">
        <v>1416667</v>
      </c>
      <c r="BS60" s="37">
        <v>11956667</v>
      </c>
      <c r="BT60" s="37"/>
      <c r="BU60" s="37"/>
      <c r="BV60" s="37"/>
      <c r="BW60" s="59"/>
      <c r="BX60" s="36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36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59"/>
    </row>
    <row r="61" spans="1:103" s="40" customFormat="1" ht="19.5" customHeight="1" outlineLevel="1">
      <c r="A61" s="41"/>
      <c r="B61" s="55" t="s">
        <v>61</v>
      </c>
      <c r="C61" s="73" t="s">
        <v>77</v>
      </c>
      <c r="D61" s="74"/>
      <c r="E61" s="75" t="s">
        <v>77</v>
      </c>
      <c r="F61" s="36">
        <v>2647273</v>
      </c>
      <c r="G61" s="29">
        <v>0</v>
      </c>
      <c r="H61" s="29">
        <v>2647273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36">
        <v>5294545.7272727266</v>
      </c>
      <c r="U61" s="37">
        <v>0</v>
      </c>
      <c r="V61" s="37">
        <v>2647273</v>
      </c>
      <c r="W61" s="37">
        <v>0</v>
      </c>
      <c r="X61" s="37">
        <v>0</v>
      </c>
      <c r="Y61" s="37">
        <v>0</v>
      </c>
      <c r="Z61" s="37">
        <v>2647272.7272727271</v>
      </c>
      <c r="AA61" s="37">
        <v>0</v>
      </c>
      <c r="AB61" s="37">
        <v>0</v>
      </c>
      <c r="AC61" s="37">
        <v>0</v>
      </c>
      <c r="AD61" s="37">
        <v>0</v>
      </c>
      <c r="AE61" s="37">
        <v>0</v>
      </c>
      <c r="AF61" s="37">
        <v>0</v>
      </c>
      <c r="AG61" s="59"/>
      <c r="AH61" s="36">
        <v>5290909</v>
      </c>
      <c r="AI61" s="37">
        <v>2643636</v>
      </c>
      <c r="AJ61" s="37">
        <v>0</v>
      </c>
      <c r="AK61" s="37">
        <v>0</v>
      </c>
      <c r="AL61" s="37">
        <v>0</v>
      </c>
      <c r="AM61" s="37">
        <v>0</v>
      </c>
      <c r="AN61" s="37">
        <v>2647273</v>
      </c>
      <c r="AO61" s="37">
        <v>0</v>
      </c>
      <c r="AP61" s="37">
        <v>0</v>
      </c>
      <c r="AQ61" s="37">
        <v>0</v>
      </c>
      <c r="AR61" s="37">
        <v>0</v>
      </c>
      <c r="AS61" s="37">
        <v>0</v>
      </c>
      <c r="AT61" s="37">
        <v>0</v>
      </c>
      <c r="AU61" s="39"/>
      <c r="AV61" s="36">
        <v>2647273</v>
      </c>
      <c r="AW61" s="29"/>
      <c r="AX61" s="29">
        <v>2647273</v>
      </c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36">
        <v>2647273</v>
      </c>
      <c r="BK61" s="37"/>
      <c r="BL61" s="37">
        <v>2647273</v>
      </c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59"/>
      <c r="BX61" s="36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36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59"/>
    </row>
    <row r="62" spans="1:103" s="90" customFormat="1" ht="19.5" customHeight="1">
      <c r="A62" s="41"/>
      <c r="B62" s="78" t="s">
        <v>78</v>
      </c>
      <c r="C62" s="61"/>
      <c r="D62" s="87"/>
      <c r="E62" s="87"/>
      <c r="F62" s="28">
        <v>64167381</v>
      </c>
      <c r="G62" s="88">
        <v>4367199</v>
      </c>
      <c r="H62" s="88">
        <v>5562657</v>
      </c>
      <c r="I62" s="88">
        <v>4798276</v>
      </c>
      <c r="J62" s="88">
        <v>4923781</v>
      </c>
      <c r="K62" s="88">
        <v>5588935</v>
      </c>
      <c r="L62" s="88">
        <v>6471287</v>
      </c>
      <c r="M62" s="88">
        <v>5763095</v>
      </c>
      <c r="N62" s="88">
        <v>5627689</v>
      </c>
      <c r="O62" s="88">
        <v>5262184</v>
      </c>
      <c r="P62" s="88">
        <v>5074579</v>
      </c>
      <c r="Q62" s="88">
        <v>5488157</v>
      </c>
      <c r="R62" s="88">
        <v>5239542</v>
      </c>
      <c r="S62" s="88">
        <v>0</v>
      </c>
      <c r="T62" s="28">
        <v>62018518.518518507</v>
      </c>
      <c r="U62" s="88">
        <v>5092592.5925925924</v>
      </c>
      <c r="V62" s="88">
        <v>5092592.5925925924</v>
      </c>
      <c r="W62" s="88">
        <v>5092592.5925925924</v>
      </c>
      <c r="X62" s="88">
        <v>5092592.5925925924</v>
      </c>
      <c r="Y62" s="88">
        <v>5092592.5925925924</v>
      </c>
      <c r="Z62" s="88">
        <v>5092592.5925925924</v>
      </c>
      <c r="AA62" s="88">
        <v>5092592.5925925924</v>
      </c>
      <c r="AB62" s="88">
        <v>5092592.5925925924</v>
      </c>
      <c r="AC62" s="88">
        <v>5092592.5925925924</v>
      </c>
      <c r="AD62" s="88">
        <v>5092592.5925925924</v>
      </c>
      <c r="AE62" s="88">
        <v>5092592.5925925924</v>
      </c>
      <c r="AF62" s="88">
        <v>6000000</v>
      </c>
      <c r="AG62" s="78"/>
      <c r="AH62" s="28">
        <v>60986996</v>
      </c>
      <c r="AI62" s="88">
        <v>4923862</v>
      </c>
      <c r="AJ62" s="88">
        <v>4175365</v>
      </c>
      <c r="AK62" s="88">
        <v>4664711</v>
      </c>
      <c r="AL62" s="88">
        <v>5267921</v>
      </c>
      <c r="AM62" s="88">
        <v>4676491</v>
      </c>
      <c r="AN62" s="88">
        <v>5468174</v>
      </c>
      <c r="AO62" s="88">
        <v>5271360</v>
      </c>
      <c r="AP62" s="88">
        <v>5356268</v>
      </c>
      <c r="AQ62" s="88">
        <v>5279700</v>
      </c>
      <c r="AR62" s="88">
        <v>5019182</v>
      </c>
      <c r="AS62" s="88">
        <v>5574386</v>
      </c>
      <c r="AT62" s="88">
        <v>5309576</v>
      </c>
      <c r="AU62" s="89"/>
      <c r="AV62" s="28">
        <v>67980000</v>
      </c>
      <c r="AW62" s="88">
        <v>5540000</v>
      </c>
      <c r="AX62" s="88">
        <v>5540000</v>
      </c>
      <c r="AY62" s="88">
        <v>5540000</v>
      </c>
      <c r="AZ62" s="88">
        <v>5540000</v>
      </c>
      <c r="BA62" s="88">
        <v>5540000</v>
      </c>
      <c r="BB62" s="88">
        <v>6040000</v>
      </c>
      <c r="BC62" s="88">
        <v>6040000</v>
      </c>
      <c r="BD62" s="88">
        <v>6040000</v>
      </c>
      <c r="BE62" s="88">
        <v>5540000</v>
      </c>
      <c r="BF62" s="88">
        <v>5540000</v>
      </c>
      <c r="BG62" s="88">
        <v>5540000</v>
      </c>
      <c r="BH62" s="88">
        <v>5540000</v>
      </c>
      <c r="BI62" s="88"/>
      <c r="BJ62" s="28">
        <v>67980000</v>
      </c>
      <c r="BK62" s="88">
        <v>5540000</v>
      </c>
      <c r="BL62" s="88">
        <v>5540000</v>
      </c>
      <c r="BM62" s="88">
        <v>5540000</v>
      </c>
      <c r="BN62" s="88">
        <v>5540000</v>
      </c>
      <c r="BO62" s="88">
        <v>5540000</v>
      </c>
      <c r="BP62" s="88">
        <v>6040000</v>
      </c>
      <c r="BQ62" s="88">
        <v>6040000</v>
      </c>
      <c r="BR62" s="88">
        <v>6040000</v>
      </c>
      <c r="BS62" s="88">
        <v>5540000</v>
      </c>
      <c r="BT62" s="88">
        <v>5540000</v>
      </c>
      <c r="BU62" s="88">
        <v>5540000</v>
      </c>
      <c r="BV62" s="88">
        <v>5540000</v>
      </c>
      <c r="BW62" s="78"/>
      <c r="BX62" s="2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88"/>
      <c r="CL62" s="28"/>
      <c r="CM62" s="88"/>
      <c r="CN62" s="88"/>
      <c r="CO62" s="88"/>
      <c r="CP62" s="88"/>
      <c r="CQ62" s="88"/>
      <c r="CR62" s="88"/>
      <c r="CS62" s="88"/>
      <c r="CT62" s="88"/>
      <c r="CU62" s="88"/>
      <c r="CV62" s="88"/>
      <c r="CW62" s="88"/>
      <c r="CX62" s="88"/>
      <c r="CY62" s="78"/>
    </row>
    <row r="63" spans="1:103" s="40" customFormat="1" ht="19.5" customHeight="1" outlineLevel="1">
      <c r="A63" s="41">
        <v>18</v>
      </c>
      <c r="B63" s="78" t="s">
        <v>78</v>
      </c>
      <c r="C63" s="91" t="s">
        <v>79</v>
      </c>
      <c r="D63" s="35"/>
      <c r="E63" s="58" t="s">
        <v>79</v>
      </c>
      <c r="F63" s="36">
        <v>63720781</v>
      </c>
      <c r="G63" s="29">
        <v>4367199</v>
      </c>
      <c r="H63" s="29">
        <v>5530757</v>
      </c>
      <c r="I63" s="29">
        <v>4734476</v>
      </c>
      <c r="J63" s="29">
        <v>4891881</v>
      </c>
      <c r="K63" s="29">
        <v>5557035</v>
      </c>
      <c r="L63" s="29">
        <v>6439387</v>
      </c>
      <c r="M63" s="29">
        <v>5699295</v>
      </c>
      <c r="N63" s="29">
        <v>5595789</v>
      </c>
      <c r="O63" s="29">
        <v>5230284</v>
      </c>
      <c r="P63" s="29">
        <v>5042679</v>
      </c>
      <c r="Q63" s="29">
        <v>5424357</v>
      </c>
      <c r="R63" s="29">
        <v>5207642</v>
      </c>
      <c r="S63" s="29">
        <v>0</v>
      </c>
      <c r="T63" s="36">
        <v>62018518.518518507</v>
      </c>
      <c r="U63" s="37">
        <v>5092592.5925925924</v>
      </c>
      <c r="V63" s="37">
        <v>5092592.5925925924</v>
      </c>
      <c r="W63" s="37">
        <v>5092592.5925925924</v>
      </c>
      <c r="X63" s="37">
        <v>5092592.5925925924</v>
      </c>
      <c r="Y63" s="37">
        <v>5092592.5925925924</v>
      </c>
      <c r="Z63" s="37">
        <v>5092592.5925925924</v>
      </c>
      <c r="AA63" s="37">
        <v>5092592.5925925924</v>
      </c>
      <c r="AB63" s="37">
        <v>5092592.5925925924</v>
      </c>
      <c r="AC63" s="37">
        <v>5092592.5925925924</v>
      </c>
      <c r="AD63" s="37">
        <v>5092592.5925925924</v>
      </c>
      <c r="AE63" s="37">
        <v>5092592.5925925924</v>
      </c>
      <c r="AF63" s="37">
        <v>6000000</v>
      </c>
      <c r="AG63" s="38"/>
      <c r="AH63" s="36">
        <v>60763696</v>
      </c>
      <c r="AI63" s="37">
        <v>4923862</v>
      </c>
      <c r="AJ63" s="37">
        <v>4143465</v>
      </c>
      <c r="AK63" s="37">
        <v>4664711</v>
      </c>
      <c r="AL63" s="37">
        <v>5236021</v>
      </c>
      <c r="AM63" s="37">
        <v>4676491</v>
      </c>
      <c r="AN63" s="37">
        <v>5436274</v>
      </c>
      <c r="AO63" s="37">
        <v>5271360</v>
      </c>
      <c r="AP63" s="37">
        <v>5324368</v>
      </c>
      <c r="AQ63" s="37">
        <v>5247800</v>
      </c>
      <c r="AR63" s="37">
        <v>5019182</v>
      </c>
      <c r="AS63" s="37">
        <v>5542486</v>
      </c>
      <c r="AT63" s="37">
        <v>5277676</v>
      </c>
      <c r="AU63" s="39"/>
      <c r="AV63" s="36">
        <v>67500000</v>
      </c>
      <c r="AW63" s="29">
        <v>5500000</v>
      </c>
      <c r="AX63" s="29">
        <v>5500000</v>
      </c>
      <c r="AY63" s="29">
        <v>5500000</v>
      </c>
      <c r="AZ63" s="29">
        <v>5500000</v>
      </c>
      <c r="BA63" s="29">
        <v>5500000</v>
      </c>
      <c r="BB63" s="29">
        <v>6000000</v>
      </c>
      <c r="BC63" s="29">
        <v>6000000</v>
      </c>
      <c r="BD63" s="29">
        <v>6000000</v>
      </c>
      <c r="BE63" s="29">
        <v>5500000</v>
      </c>
      <c r="BF63" s="29">
        <v>5500000</v>
      </c>
      <c r="BG63" s="29">
        <v>5500000</v>
      </c>
      <c r="BH63" s="29">
        <v>5500000</v>
      </c>
      <c r="BI63" s="29"/>
      <c r="BJ63" s="36">
        <v>67500000</v>
      </c>
      <c r="BK63" s="37">
        <v>5500000</v>
      </c>
      <c r="BL63" s="37">
        <v>5500000</v>
      </c>
      <c r="BM63" s="37">
        <v>5500000</v>
      </c>
      <c r="BN63" s="37">
        <v>5500000</v>
      </c>
      <c r="BO63" s="37">
        <v>5500000</v>
      </c>
      <c r="BP63" s="37">
        <v>6000000</v>
      </c>
      <c r="BQ63" s="37">
        <v>6000000</v>
      </c>
      <c r="BR63" s="37">
        <v>6000000</v>
      </c>
      <c r="BS63" s="37">
        <v>5500000</v>
      </c>
      <c r="BT63" s="37">
        <v>5500000</v>
      </c>
      <c r="BU63" s="37">
        <v>5500000</v>
      </c>
      <c r="BV63" s="37">
        <v>5500000</v>
      </c>
      <c r="BW63" s="38"/>
      <c r="BX63" s="36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36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8"/>
    </row>
    <row r="64" spans="1:103" s="40" customFormat="1" ht="19.5" customHeight="1" outlineLevel="1">
      <c r="A64" s="41">
        <v>19</v>
      </c>
      <c r="B64" s="78" t="s">
        <v>78</v>
      </c>
      <c r="C64" s="91" t="s">
        <v>80</v>
      </c>
      <c r="D64" s="35"/>
      <c r="E64" s="58" t="s">
        <v>80</v>
      </c>
      <c r="F64" s="36">
        <v>446600</v>
      </c>
      <c r="G64" s="29">
        <v>0</v>
      </c>
      <c r="H64" s="29">
        <v>31900</v>
      </c>
      <c r="I64" s="29">
        <v>63800</v>
      </c>
      <c r="J64" s="29">
        <v>31900</v>
      </c>
      <c r="K64" s="29">
        <v>31900</v>
      </c>
      <c r="L64" s="29">
        <v>31900</v>
      </c>
      <c r="M64" s="29">
        <v>63800</v>
      </c>
      <c r="N64" s="29">
        <v>31900</v>
      </c>
      <c r="O64" s="29">
        <v>31900</v>
      </c>
      <c r="P64" s="29">
        <v>31900</v>
      </c>
      <c r="Q64" s="29">
        <v>63800</v>
      </c>
      <c r="R64" s="29">
        <v>31900</v>
      </c>
      <c r="S64" s="29">
        <v>0</v>
      </c>
      <c r="T64" s="36">
        <v>0</v>
      </c>
      <c r="U64" s="37">
        <v>0</v>
      </c>
      <c r="V64" s="37">
        <v>0</v>
      </c>
      <c r="W64" s="37">
        <v>0</v>
      </c>
      <c r="X64" s="37">
        <v>0</v>
      </c>
      <c r="Y64" s="37">
        <v>0</v>
      </c>
      <c r="Z64" s="37">
        <v>0</v>
      </c>
      <c r="AA64" s="37">
        <v>0</v>
      </c>
      <c r="AB64" s="37">
        <v>0</v>
      </c>
      <c r="AC64" s="37">
        <v>0</v>
      </c>
      <c r="AD64" s="37">
        <v>0</v>
      </c>
      <c r="AE64" s="37">
        <v>0</v>
      </c>
      <c r="AF64" s="37">
        <v>0</v>
      </c>
      <c r="AG64" s="38"/>
      <c r="AH64" s="36">
        <v>223300</v>
      </c>
      <c r="AI64" s="37">
        <v>0</v>
      </c>
      <c r="AJ64" s="37">
        <v>31900</v>
      </c>
      <c r="AK64" s="37">
        <v>0</v>
      </c>
      <c r="AL64" s="37">
        <v>31900</v>
      </c>
      <c r="AM64" s="37">
        <v>0</v>
      </c>
      <c r="AN64" s="37">
        <v>31900</v>
      </c>
      <c r="AO64" s="37">
        <v>0</v>
      </c>
      <c r="AP64" s="37">
        <v>31900</v>
      </c>
      <c r="AQ64" s="37">
        <v>31900</v>
      </c>
      <c r="AR64" s="37">
        <v>0</v>
      </c>
      <c r="AS64" s="37">
        <v>31900</v>
      </c>
      <c r="AT64" s="37">
        <v>31900</v>
      </c>
      <c r="AU64" s="39"/>
      <c r="AV64" s="36">
        <v>480000</v>
      </c>
      <c r="AW64" s="29">
        <v>40000</v>
      </c>
      <c r="AX64" s="29">
        <v>40000</v>
      </c>
      <c r="AY64" s="29">
        <v>40000</v>
      </c>
      <c r="AZ64" s="29">
        <v>40000</v>
      </c>
      <c r="BA64" s="29">
        <v>40000</v>
      </c>
      <c r="BB64" s="29">
        <v>40000</v>
      </c>
      <c r="BC64" s="29">
        <v>40000</v>
      </c>
      <c r="BD64" s="29">
        <v>40000</v>
      </c>
      <c r="BE64" s="29">
        <v>40000</v>
      </c>
      <c r="BF64" s="29">
        <v>40000</v>
      </c>
      <c r="BG64" s="29">
        <v>40000</v>
      </c>
      <c r="BH64" s="29">
        <v>40000</v>
      </c>
      <c r="BI64" s="29"/>
      <c r="BJ64" s="36">
        <v>480000</v>
      </c>
      <c r="BK64" s="37">
        <v>40000</v>
      </c>
      <c r="BL64" s="37">
        <v>40000</v>
      </c>
      <c r="BM64" s="37">
        <v>40000</v>
      </c>
      <c r="BN64" s="37">
        <v>40000</v>
      </c>
      <c r="BO64" s="37">
        <v>40000</v>
      </c>
      <c r="BP64" s="37">
        <v>40000</v>
      </c>
      <c r="BQ64" s="37">
        <v>40000</v>
      </c>
      <c r="BR64" s="37">
        <v>40000</v>
      </c>
      <c r="BS64" s="37">
        <v>40000</v>
      </c>
      <c r="BT64" s="37">
        <v>40000</v>
      </c>
      <c r="BU64" s="37">
        <v>40000</v>
      </c>
      <c r="BV64" s="37">
        <v>40000</v>
      </c>
      <c r="BW64" s="38"/>
      <c r="BX64" s="36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36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8"/>
    </row>
    <row r="65" spans="1:103" s="32" customFormat="1" ht="19.5" customHeight="1">
      <c r="A65" s="41">
        <v>20</v>
      </c>
      <c r="B65" s="55" t="s">
        <v>81</v>
      </c>
      <c r="C65" s="55"/>
      <c r="D65" s="56"/>
      <c r="E65" s="56"/>
      <c r="F65" s="28">
        <v>2081275560</v>
      </c>
      <c r="G65" s="28">
        <v>173439630</v>
      </c>
      <c r="H65" s="28">
        <v>173439630</v>
      </c>
      <c r="I65" s="28">
        <v>173439630</v>
      </c>
      <c r="J65" s="28">
        <v>173439630</v>
      </c>
      <c r="K65" s="28">
        <v>173439630</v>
      </c>
      <c r="L65" s="28">
        <v>173439630</v>
      </c>
      <c r="M65" s="28">
        <v>173439630</v>
      </c>
      <c r="N65" s="28">
        <v>173439630</v>
      </c>
      <c r="O65" s="28">
        <v>173439630</v>
      </c>
      <c r="P65" s="28">
        <v>173439630</v>
      </c>
      <c r="Q65" s="28">
        <v>173439630</v>
      </c>
      <c r="R65" s="28">
        <v>173439630</v>
      </c>
      <c r="S65" s="28">
        <v>0</v>
      </c>
      <c r="T65" s="28">
        <v>2081275560</v>
      </c>
      <c r="U65" s="28">
        <v>173439630</v>
      </c>
      <c r="V65" s="28">
        <v>173439630</v>
      </c>
      <c r="W65" s="28">
        <v>173439630</v>
      </c>
      <c r="X65" s="28">
        <v>173439630</v>
      </c>
      <c r="Y65" s="28">
        <v>173439630</v>
      </c>
      <c r="Z65" s="28">
        <v>173439630</v>
      </c>
      <c r="AA65" s="28">
        <v>173439630</v>
      </c>
      <c r="AB65" s="28">
        <v>173439630</v>
      </c>
      <c r="AC65" s="28">
        <v>173439630</v>
      </c>
      <c r="AD65" s="28">
        <v>173439630</v>
      </c>
      <c r="AE65" s="28">
        <v>173439630</v>
      </c>
      <c r="AF65" s="28">
        <v>173439630</v>
      </c>
      <c r="AG65" s="57"/>
      <c r="AH65" s="28">
        <v>2081275560</v>
      </c>
      <c r="AI65" s="28">
        <v>173439630</v>
      </c>
      <c r="AJ65" s="28">
        <v>173439630</v>
      </c>
      <c r="AK65" s="28">
        <v>173439630</v>
      </c>
      <c r="AL65" s="28">
        <v>173439630</v>
      </c>
      <c r="AM65" s="28">
        <v>173439630</v>
      </c>
      <c r="AN65" s="28">
        <v>173439630</v>
      </c>
      <c r="AO65" s="28">
        <v>173439630</v>
      </c>
      <c r="AP65" s="28">
        <v>173439630</v>
      </c>
      <c r="AQ65" s="28">
        <v>173439630</v>
      </c>
      <c r="AR65" s="28">
        <v>173439630</v>
      </c>
      <c r="AS65" s="28">
        <v>173439630</v>
      </c>
      <c r="AT65" s="28">
        <v>173439630</v>
      </c>
      <c r="AU65" s="31"/>
      <c r="AV65" s="28">
        <v>2081275560</v>
      </c>
      <c r="AW65" s="28">
        <v>173439630</v>
      </c>
      <c r="AX65" s="28">
        <v>173439630</v>
      </c>
      <c r="AY65" s="28">
        <v>173439630</v>
      </c>
      <c r="AZ65" s="28">
        <v>173439630</v>
      </c>
      <c r="BA65" s="28">
        <v>173439630</v>
      </c>
      <c r="BB65" s="28">
        <v>173439630</v>
      </c>
      <c r="BC65" s="28">
        <v>173439630</v>
      </c>
      <c r="BD65" s="28">
        <v>173439630</v>
      </c>
      <c r="BE65" s="28">
        <v>173439630</v>
      </c>
      <c r="BF65" s="28">
        <v>173439630</v>
      </c>
      <c r="BG65" s="28">
        <v>173439630</v>
      </c>
      <c r="BH65" s="28">
        <v>173439630</v>
      </c>
      <c r="BI65" s="28"/>
      <c r="BJ65" s="28">
        <v>2081275560</v>
      </c>
      <c r="BK65" s="28">
        <v>173439630</v>
      </c>
      <c r="BL65" s="28">
        <v>173439630</v>
      </c>
      <c r="BM65" s="28">
        <v>173439630</v>
      </c>
      <c r="BN65" s="28">
        <v>173439630</v>
      </c>
      <c r="BO65" s="28">
        <v>173439630</v>
      </c>
      <c r="BP65" s="28">
        <v>173439630</v>
      </c>
      <c r="BQ65" s="28">
        <v>173439630</v>
      </c>
      <c r="BR65" s="28">
        <v>173439630</v>
      </c>
      <c r="BS65" s="28">
        <v>173439630</v>
      </c>
      <c r="BT65" s="28">
        <v>173439630</v>
      </c>
      <c r="BU65" s="28">
        <v>173439630</v>
      </c>
      <c r="BV65" s="28">
        <v>173439630</v>
      </c>
      <c r="BW65" s="57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57"/>
    </row>
    <row r="66" spans="1:103" s="40" customFormat="1" ht="19.5" customHeight="1" outlineLevel="1">
      <c r="A66" s="41"/>
      <c r="B66" s="55" t="s">
        <v>81</v>
      </c>
      <c r="C66" s="73" t="s">
        <v>82</v>
      </c>
      <c r="D66" s="74"/>
      <c r="E66" s="75" t="s">
        <v>82</v>
      </c>
      <c r="F66" s="36">
        <v>1547615160</v>
      </c>
      <c r="G66" s="29">
        <v>128967930</v>
      </c>
      <c r="H66" s="29">
        <v>128967930</v>
      </c>
      <c r="I66" s="29">
        <v>128967930</v>
      </c>
      <c r="J66" s="29">
        <v>128967930</v>
      </c>
      <c r="K66" s="29">
        <v>128967930</v>
      </c>
      <c r="L66" s="29">
        <v>128967930</v>
      </c>
      <c r="M66" s="29">
        <v>128967930</v>
      </c>
      <c r="N66" s="29">
        <v>128967930</v>
      </c>
      <c r="O66" s="29">
        <v>128967930</v>
      </c>
      <c r="P66" s="29">
        <v>128967930</v>
      </c>
      <c r="Q66" s="29">
        <v>128967930</v>
      </c>
      <c r="R66" s="29">
        <v>128967930</v>
      </c>
      <c r="S66" s="29">
        <v>0</v>
      </c>
      <c r="T66" s="36">
        <v>1547615159.9999998</v>
      </c>
      <c r="U66" s="37">
        <v>128967929.99999999</v>
      </c>
      <c r="V66" s="37">
        <v>128967929.99999999</v>
      </c>
      <c r="W66" s="37">
        <v>128967929.99999999</v>
      </c>
      <c r="X66" s="37">
        <v>128967929.99999999</v>
      </c>
      <c r="Y66" s="37">
        <v>128967929.99999999</v>
      </c>
      <c r="Z66" s="37">
        <v>128967929.99999999</v>
      </c>
      <c r="AA66" s="37">
        <v>128967929.99999999</v>
      </c>
      <c r="AB66" s="37">
        <v>128967929.99999999</v>
      </c>
      <c r="AC66" s="37">
        <v>128967929.99999999</v>
      </c>
      <c r="AD66" s="37">
        <v>128967929.99999999</v>
      </c>
      <c r="AE66" s="37">
        <v>128967929.99999999</v>
      </c>
      <c r="AF66" s="37">
        <v>128967929.99999999</v>
      </c>
      <c r="AG66" s="59"/>
      <c r="AH66" s="36">
        <v>1547615160</v>
      </c>
      <c r="AI66" s="37">
        <v>128967930</v>
      </c>
      <c r="AJ66" s="37">
        <v>128967930</v>
      </c>
      <c r="AK66" s="37">
        <v>128967930</v>
      </c>
      <c r="AL66" s="37">
        <v>128967930</v>
      </c>
      <c r="AM66" s="37">
        <v>128967930</v>
      </c>
      <c r="AN66" s="37">
        <v>128967930</v>
      </c>
      <c r="AO66" s="37">
        <v>128967930</v>
      </c>
      <c r="AP66" s="37">
        <v>128967930</v>
      </c>
      <c r="AQ66" s="37">
        <v>128967930</v>
      </c>
      <c r="AR66" s="37">
        <v>128967930</v>
      </c>
      <c r="AS66" s="37">
        <v>128967930</v>
      </c>
      <c r="AT66" s="37">
        <v>128967930</v>
      </c>
      <c r="AU66" s="39"/>
      <c r="AV66" s="36">
        <v>1547615160</v>
      </c>
      <c r="AW66" s="29">
        <v>128967930</v>
      </c>
      <c r="AX66" s="29">
        <v>128967930</v>
      </c>
      <c r="AY66" s="29">
        <v>128967930</v>
      </c>
      <c r="AZ66" s="29">
        <v>128967930</v>
      </c>
      <c r="BA66" s="29">
        <v>128967930</v>
      </c>
      <c r="BB66" s="29">
        <v>128967930</v>
      </c>
      <c r="BC66" s="29">
        <v>128967930</v>
      </c>
      <c r="BD66" s="29">
        <v>128967930</v>
      </c>
      <c r="BE66" s="29">
        <v>128967930</v>
      </c>
      <c r="BF66" s="29">
        <v>128967930</v>
      </c>
      <c r="BG66" s="29">
        <v>128967930</v>
      </c>
      <c r="BH66" s="29">
        <v>128967930</v>
      </c>
      <c r="BI66" s="29"/>
      <c r="BJ66" s="36">
        <v>1547615160</v>
      </c>
      <c r="BK66" s="37">
        <v>128967930</v>
      </c>
      <c r="BL66" s="37">
        <v>128967930</v>
      </c>
      <c r="BM66" s="37">
        <v>128967930</v>
      </c>
      <c r="BN66" s="37">
        <v>128967930</v>
      </c>
      <c r="BO66" s="37">
        <v>128967930</v>
      </c>
      <c r="BP66" s="37">
        <v>128967930</v>
      </c>
      <c r="BQ66" s="37">
        <v>128967930</v>
      </c>
      <c r="BR66" s="37">
        <v>128967930</v>
      </c>
      <c r="BS66" s="37">
        <v>128967930</v>
      </c>
      <c r="BT66" s="37">
        <v>128967930</v>
      </c>
      <c r="BU66" s="37">
        <v>128967930</v>
      </c>
      <c r="BV66" s="37">
        <v>128967930</v>
      </c>
      <c r="BW66" s="59"/>
      <c r="BX66" s="36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36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59"/>
    </row>
    <row r="67" spans="1:103" s="40" customFormat="1" ht="19.5" customHeight="1" outlineLevel="1">
      <c r="A67" s="41"/>
      <c r="B67" s="55" t="s">
        <v>81</v>
      </c>
      <c r="C67" s="73" t="s">
        <v>83</v>
      </c>
      <c r="D67" s="75"/>
      <c r="E67" s="75" t="s">
        <v>83</v>
      </c>
      <c r="F67" s="36">
        <v>533660400</v>
      </c>
      <c r="G67" s="29">
        <v>44471700</v>
      </c>
      <c r="H67" s="29">
        <v>44471700</v>
      </c>
      <c r="I67" s="29">
        <v>44471700</v>
      </c>
      <c r="J67" s="29">
        <v>44471700</v>
      </c>
      <c r="K67" s="29">
        <v>44471700</v>
      </c>
      <c r="L67" s="29">
        <v>44471700</v>
      </c>
      <c r="M67" s="29">
        <v>44471700</v>
      </c>
      <c r="N67" s="29">
        <v>44471700</v>
      </c>
      <c r="O67" s="29">
        <v>44471700</v>
      </c>
      <c r="P67" s="29">
        <v>44471700</v>
      </c>
      <c r="Q67" s="29">
        <v>44471700</v>
      </c>
      <c r="R67" s="29">
        <v>44471700</v>
      </c>
      <c r="S67" s="29">
        <v>0</v>
      </c>
      <c r="T67" s="36">
        <v>533660400</v>
      </c>
      <c r="U67" s="92">
        <v>44471700</v>
      </c>
      <c r="V67" s="92">
        <v>44471700</v>
      </c>
      <c r="W67" s="92">
        <v>44471700</v>
      </c>
      <c r="X67" s="92">
        <v>44471700</v>
      </c>
      <c r="Y67" s="92">
        <v>44471700</v>
      </c>
      <c r="Z67" s="92">
        <v>44471700</v>
      </c>
      <c r="AA67" s="92">
        <v>44471700</v>
      </c>
      <c r="AB67" s="92">
        <v>44471700</v>
      </c>
      <c r="AC67" s="92">
        <v>44471700</v>
      </c>
      <c r="AD67" s="92">
        <v>44471700</v>
      </c>
      <c r="AE67" s="92">
        <v>44471700</v>
      </c>
      <c r="AF67" s="92">
        <v>44471700</v>
      </c>
      <c r="AG67" s="93"/>
      <c r="AH67" s="36">
        <v>533660400</v>
      </c>
      <c r="AI67" s="92">
        <v>44471700</v>
      </c>
      <c r="AJ67" s="92">
        <v>44471700</v>
      </c>
      <c r="AK67" s="92">
        <v>44471700</v>
      </c>
      <c r="AL67" s="92">
        <v>44471700</v>
      </c>
      <c r="AM67" s="92">
        <v>44471700</v>
      </c>
      <c r="AN67" s="92">
        <v>44471700</v>
      </c>
      <c r="AO67" s="92">
        <v>44471700</v>
      </c>
      <c r="AP67" s="92">
        <v>44471700</v>
      </c>
      <c r="AQ67" s="92">
        <v>44471700</v>
      </c>
      <c r="AR67" s="92">
        <v>44471700</v>
      </c>
      <c r="AS67" s="92">
        <v>44471700</v>
      </c>
      <c r="AT67" s="92">
        <v>44471700</v>
      </c>
      <c r="AU67" s="94">
        <v>0</v>
      </c>
      <c r="AV67" s="36">
        <v>533660400</v>
      </c>
      <c r="AW67" s="29">
        <v>44471700</v>
      </c>
      <c r="AX67" s="29">
        <v>44471700</v>
      </c>
      <c r="AY67" s="29">
        <v>44471700</v>
      </c>
      <c r="AZ67" s="29">
        <v>44471700</v>
      </c>
      <c r="BA67" s="29">
        <v>44471700</v>
      </c>
      <c r="BB67" s="29">
        <v>44471700</v>
      </c>
      <c r="BC67" s="29">
        <v>44471700</v>
      </c>
      <c r="BD67" s="29">
        <v>44471700</v>
      </c>
      <c r="BE67" s="29">
        <v>44471700</v>
      </c>
      <c r="BF67" s="29">
        <v>44471700</v>
      </c>
      <c r="BG67" s="29">
        <v>44471700</v>
      </c>
      <c r="BH67" s="29">
        <v>44471700</v>
      </c>
      <c r="BI67" s="29"/>
      <c r="BJ67" s="36">
        <v>533660400</v>
      </c>
      <c r="BK67" s="92">
        <v>44471700</v>
      </c>
      <c r="BL67" s="92">
        <v>44471700</v>
      </c>
      <c r="BM67" s="92">
        <v>44471700</v>
      </c>
      <c r="BN67" s="92">
        <v>44471700</v>
      </c>
      <c r="BO67" s="92">
        <v>44471700</v>
      </c>
      <c r="BP67" s="92">
        <v>44471700</v>
      </c>
      <c r="BQ67" s="92">
        <v>44471700</v>
      </c>
      <c r="BR67" s="92">
        <v>44471700</v>
      </c>
      <c r="BS67" s="92">
        <v>44471700</v>
      </c>
      <c r="BT67" s="92">
        <v>44471700</v>
      </c>
      <c r="BU67" s="92">
        <v>44471700</v>
      </c>
      <c r="BV67" s="92">
        <v>44471700</v>
      </c>
      <c r="BW67" s="93"/>
      <c r="BX67" s="36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36"/>
      <c r="CM67" s="92"/>
      <c r="CN67" s="92"/>
      <c r="CO67" s="92"/>
      <c r="CP67" s="92"/>
      <c r="CQ67" s="92"/>
      <c r="CR67" s="92"/>
      <c r="CS67" s="92"/>
      <c r="CT67" s="92"/>
      <c r="CU67" s="92"/>
      <c r="CV67" s="92"/>
      <c r="CW67" s="92"/>
      <c r="CX67" s="92"/>
      <c r="CY67" s="93"/>
    </row>
    <row r="68" spans="1:103" s="32" customFormat="1" ht="19.5" customHeight="1">
      <c r="A68" s="41">
        <v>26</v>
      </c>
      <c r="B68" s="55" t="s">
        <v>84</v>
      </c>
      <c r="C68" s="95"/>
      <c r="D68" s="96"/>
      <c r="E68" s="96"/>
      <c r="F68" s="28">
        <v>109989195</v>
      </c>
      <c r="G68" s="28">
        <v>0</v>
      </c>
      <c r="H68" s="28">
        <v>3359200</v>
      </c>
      <c r="I68" s="28">
        <v>-6074170</v>
      </c>
      <c r="J68" s="28">
        <v>39147700</v>
      </c>
      <c r="K68" s="28">
        <v>2371200</v>
      </c>
      <c r="L68" s="28">
        <v>-1333935</v>
      </c>
      <c r="M68" s="28">
        <v>2371200</v>
      </c>
      <c r="N68" s="28">
        <v>0</v>
      </c>
      <c r="O68" s="28">
        <v>0</v>
      </c>
      <c r="P68" s="28">
        <v>-3952000</v>
      </c>
      <c r="Q68" s="28">
        <v>74100000</v>
      </c>
      <c r="R68" s="28">
        <v>0</v>
      </c>
      <c r="S68" s="28">
        <v>0</v>
      </c>
      <c r="T68" s="28">
        <v>139140740.74074075</v>
      </c>
      <c r="U68" s="28">
        <v>0</v>
      </c>
      <c r="V68" s="28">
        <v>0</v>
      </c>
      <c r="W68" s="28">
        <v>44000000</v>
      </c>
      <c r="X68" s="28">
        <v>0</v>
      </c>
      <c r="Y68" s="28">
        <v>0</v>
      </c>
      <c r="Z68" s="28">
        <v>0</v>
      </c>
      <c r="AA68" s="28">
        <v>0</v>
      </c>
      <c r="AB68" s="28">
        <v>0</v>
      </c>
      <c r="AC68" s="28">
        <v>0</v>
      </c>
      <c r="AD68" s="28">
        <v>0</v>
      </c>
      <c r="AE68" s="28">
        <v>95140740.740740746</v>
      </c>
      <c r="AF68" s="28">
        <v>0</v>
      </c>
      <c r="AG68" s="97"/>
      <c r="AH68" s="28">
        <v>130543139</v>
      </c>
      <c r="AI68" s="28">
        <v>0</v>
      </c>
      <c r="AJ68" s="28">
        <v>0</v>
      </c>
      <c r="AK68" s="28">
        <v>-4675021</v>
      </c>
      <c r="AL68" s="28">
        <v>31557200</v>
      </c>
      <c r="AM68" s="28">
        <v>4860960</v>
      </c>
      <c r="AN68" s="28">
        <v>0</v>
      </c>
      <c r="AO68" s="28">
        <v>0</v>
      </c>
      <c r="AP68" s="28">
        <v>0</v>
      </c>
      <c r="AQ68" s="28">
        <v>0</v>
      </c>
      <c r="AR68" s="28">
        <v>0</v>
      </c>
      <c r="AS68" s="28">
        <v>98800000</v>
      </c>
      <c r="AT68" s="28">
        <v>0</v>
      </c>
      <c r="AU68" s="31">
        <v>0</v>
      </c>
      <c r="AV68" s="28">
        <v>125715000</v>
      </c>
      <c r="AW68" s="28">
        <v>0</v>
      </c>
      <c r="AX68" s="28">
        <v>0</v>
      </c>
      <c r="AY68" s="28">
        <v>40500000</v>
      </c>
      <c r="AZ68" s="28">
        <v>0</v>
      </c>
      <c r="BA68" s="28">
        <v>0</v>
      </c>
      <c r="BB68" s="28">
        <v>0</v>
      </c>
      <c r="BC68" s="28">
        <v>0</v>
      </c>
      <c r="BD68" s="28">
        <v>0</v>
      </c>
      <c r="BE68" s="28">
        <v>0</v>
      </c>
      <c r="BF68" s="28">
        <v>0</v>
      </c>
      <c r="BG68" s="28">
        <v>85215000</v>
      </c>
      <c r="BH68" s="28">
        <v>0</v>
      </c>
      <c r="BI68" s="28"/>
      <c r="BJ68" s="28">
        <v>125715000</v>
      </c>
      <c r="BK68" s="28">
        <v>0</v>
      </c>
      <c r="BL68" s="28">
        <v>0</v>
      </c>
      <c r="BM68" s="28">
        <v>40500000</v>
      </c>
      <c r="BN68" s="28">
        <v>0</v>
      </c>
      <c r="BO68" s="28">
        <v>0</v>
      </c>
      <c r="BP68" s="28">
        <v>0</v>
      </c>
      <c r="BQ68" s="28">
        <v>0</v>
      </c>
      <c r="BR68" s="28">
        <v>0</v>
      </c>
      <c r="BS68" s="28">
        <v>0</v>
      </c>
      <c r="BT68" s="28">
        <v>0</v>
      </c>
      <c r="BU68" s="28">
        <v>85215000</v>
      </c>
      <c r="BV68" s="28">
        <v>0</v>
      </c>
      <c r="BW68" s="97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97"/>
    </row>
    <row r="69" spans="1:103" s="40" customFormat="1" ht="19.5" customHeight="1" outlineLevel="1">
      <c r="A69" s="41"/>
      <c r="B69" s="55" t="s">
        <v>84</v>
      </c>
      <c r="C69" s="91" t="s">
        <v>85</v>
      </c>
      <c r="D69" s="98"/>
      <c r="E69" s="58" t="s">
        <v>85</v>
      </c>
      <c r="F69" s="36">
        <v>42855000</v>
      </c>
      <c r="G69" s="29">
        <v>0</v>
      </c>
      <c r="H69" s="29">
        <v>0</v>
      </c>
      <c r="I69" s="29">
        <v>0</v>
      </c>
      <c r="J69" s="29">
        <v>42855000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36">
        <v>44000000</v>
      </c>
      <c r="U69" s="37">
        <v>0</v>
      </c>
      <c r="V69" s="37">
        <v>0</v>
      </c>
      <c r="W69" s="37">
        <v>44000000</v>
      </c>
      <c r="X69" s="37">
        <v>0</v>
      </c>
      <c r="Y69" s="37">
        <v>0</v>
      </c>
      <c r="Z69" s="37">
        <v>0</v>
      </c>
      <c r="AA69" s="37">
        <v>0</v>
      </c>
      <c r="AB69" s="37">
        <v>0</v>
      </c>
      <c r="AC69" s="37">
        <v>0</v>
      </c>
      <c r="AD69" s="37">
        <v>0</v>
      </c>
      <c r="AE69" s="37">
        <v>0</v>
      </c>
      <c r="AF69" s="37">
        <v>0</v>
      </c>
      <c r="AG69" s="99"/>
      <c r="AH69" s="37">
        <v>33452000</v>
      </c>
      <c r="AI69" s="37">
        <v>0</v>
      </c>
      <c r="AJ69" s="37">
        <v>0</v>
      </c>
      <c r="AK69" s="37">
        <v>0</v>
      </c>
      <c r="AL69" s="37">
        <v>33452000</v>
      </c>
      <c r="AM69" s="37">
        <v>0</v>
      </c>
      <c r="AN69" s="37">
        <v>0</v>
      </c>
      <c r="AO69" s="37">
        <v>0</v>
      </c>
      <c r="AP69" s="37">
        <v>0</v>
      </c>
      <c r="AQ69" s="37">
        <v>0</v>
      </c>
      <c r="AR69" s="37">
        <v>0</v>
      </c>
      <c r="AS69" s="37">
        <v>0</v>
      </c>
      <c r="AT69" s="37">
        <v>0</v>
      </c>
      <c r="AU69" s="39">
        <v>0</v>
      </c>
      <c r="AV69" s="36">
        <v>40500000</v>
      </c>
      <c r="AW69" s="29"/>
      <c r="AX69" s="29"/>
      <c r="AY69" s="29">
        <v>40500000</v>
      </c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36">
        <v>40500000</v>
      </c>
      <c r="BK69" s="37"/>
      <c r="BL69" s="37"/>
      <c r="BM69" s="37">
        <v>40500000</v>
      </c>
      <c r="BN69" s="37"/>
      <c r="BO69" s="37"/>
      <c r="BP69" s="37"/>
      <c r="BQ69" s="37"/>
      <c r="BR69" s="37"/>
      <c r="BS69" s="37"/>
      <c r="BT69" s="37"/>
      <c r="BU69" s="37"/>
      <c r="BV69" s="37"/>
      <c r="BW69" s="99"/>
      <c r="BX69" s="36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36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99"/>
    </row>
    <row r="70" spans="1:103" s="40" customFormat="1" ht="19.5" customHeight="1" outlineLevel="1">
      <c r="A70" s="41"/>
      <c r="B70" s="55" t="s">
        <v>84</v>
      </c>
      <c r="C70" s="100" t="s">
        <v>86</v>
      </c>
      <c r="D70" s="98"/>
      <c r="E70" s="52" t="s">
        <v>86</v>
      </c>
      <c r="F70" s="36">
        <v>67134195</v>
      </c>
      <c r="G70" s="29">
        <v>0</v>
      </c>
      <c r="H70" s="29">
        <v>3359200</v>
      </c>
      <c r="I70" s="29">
        <v>-6074170</v>
      </c>
      <c r="J70" s="29">
        <v>-3707300</v>
      </c>
      <c r="K70" s="29">
        <v>2371200</v>
      </c>
      <c r="L70" s="29">
        <v>-1333935</v>
      </c>
      <c r="M70" s="29">
        <v>2371200</v>
      </c>
      <c r="N70" s="29">
        <v>0</v>
      </c>
      <c r="O70" s="29">
        <v>0</v>
      </c>
      <c r="P70" s="29">
        <v>-3952000</v>
      </c>
      <c r="Q70" s="29">
        <v>74100000</v>
      </c>
      <c r="R70" s="29">
        <v>0</v>
      </c>
      <c r="S70" s="29">
        <v>0</v>
      </c>
      <c r="T70" s="36">
        <v>95140740.740740746</v>
      </c>
      <c r="U70" s="37">
        <v>0</v>
      </c>
      <c r="V70" s="37">
        <v>0</v>
      </c>
      <c r="W70" s="37">
        <v>0</v>
      </c>
      <c r="X70" s="37">
        <v>0</v>
      </c>
      <c r="Y70" s="37">
        <v>0</v>
      </c>
      <c r="Z70" s="37">
        <v>0</v>
      </c>
      <c r="AA70" s="37">
        <v>0</v>
      </c>
      <c r="AB70" s="37">
        <v>0</v>
      </c>
      <c r="AC70" s="37">
        <v>0</v>
      </c>
      <c r="AD70" s="37">
        <v>0</v>
      </c>
      <c r="AE70" s="37">
        <v>95140740.740740746</v>
      </c>
      <c r="AF70" s="37">
        <v>0</v>
      </c>
      <c r="AG70" s="99"/>
      <c r="AH70" s="37">
        <v>97091139</v>
      </c>
      <c r="AI70" s="37">
        <v>0</v>
      </c>
      <c r="AJ70" s="37">
        <v>0</v>
      </c>
      <c r="AK70" s="37">
        <v>-4675021</v>
      </c>
      <c r="AL70" s="37">
        <v>-1894800</v>
      </c>
      <c r="AM70" s="37">
        <v>4860960</v>
      </c>
      <c r="AN70" s="37">
        <v>0</v>
      </c>
      <c r="AO70" s="37">
        <v>0</v>
      </c>
      <c r="AP70" s="37">
        <v>0</v>
      </c>
      <c r="AQ70" s="37">
        <v>0</v>
      </c>
      <c r="AR70" s="37">
        <v>0</v>
      </c>
      <c r="AS70" s="37">
        <v>98800000</v>
      </c>
      <c r="AT70" s="37">
        <v>0</v>
      </c>
      <c r="AU70" s="39">
        <v>0</v>
      </c>
      <c r="AV70" s="36">
        <v>85215000</v>
      </c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>
        <v>85215000</v>
      </c>
      <c r="BH70" s="29"/>
      <c r="BI70" s="29"/>
      <c r="BJ70" s="36">
        <v>85215000</v>
      </c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>
        <v>85215000</v>
      </c>
      <c r="BV70" s="37"/>
      <c r="BW70" s="99"/>
      <c r="BX70" s="36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36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99"/>
    </row>
    <row r="71" spans="1:103" s="32" customFormat="1" ht="19.5" customHeight="1">
      <c r="A71" s="41">
        <v>27</v>
      </c>
      <c r="B71" s="55" t="s">
        <v>87</v>
      </c>
      <c r="C71" s="95"/>
      <c r="D71" s="96"/>
      <c r="E71" s="96"/>
      <c r="F71" s="28">
        <v>391030013</v>
      </c>
      <c r="G71" s="28">
        <v>48790777</v>
      </c>
      <c r="H71" s="28">
        <v>35362050</v>
      </c>
      <c r="I71" s="28">
        <v>34242810</v>
      </c>
      <c r="J71" s="28">
        <v>22652886</v>
      </c>
      <c r="K71" s="28">
        <v>26357244</v>
      </c>
      <c r="L71" s="28">
        <v>25353339</v>
      </c>
      <c r="M71" s="28">
        <v>42437139</v>
      </c>
      <c r="N71" s="28">
        <v>27204760</v>
      </c>
      <c r="O71" s="28">
        <v>44836845</v>
      </c>
      <c r="P71" s="28">
        <v>31732281</v>
      </c>
      <c r="Q71" s="28">
        <v>24177487</v>
      </c>
      <c r="R71" s="28">
        <v>27882395</v>
      </c>
      <c r="S71" s="28">
        <v>18184247</v>
      </c>
      <c r="T71" s="28">
        <v>541666000</v>
      </c>
      <c r="U71" s="28">
        <v>51072667</v>
      </c>
      <c r="V71" s="28">
        <v>46572667</v>
      </c>
      <c r="W71" s="28">
        <v>44072663</v>
      </c>
      <c r="X71" s="28">
        <v>44072667</v>
      </c>
      <c r="Y71" s="28">
        <v>44072667</v>
      </c>
      <c r="Z71" s="28">
        <v>44866667</v>
      </c>
      <c r="AA71" s="28">
        <v>46572667</v>
      </c>
      <c r="AB71" s="28">
        <v>44072667</v>
      </c>
      <c r="AC71" s="28">
        <v>44072667</v>
      </c>
      <c r="AD71" s="28">
        <v>44072667</v>
      </c>
      <c r="AE71" s="28">
        <v>44072667</v>
      </c>
      <c r="AF71" s="28">
        <v>44072667</v>
      </c>
      <c r="AG71" s="97"/>
      <c r="AH71" s="28">
        <v>527771418</v>
      </c>
      <c r="AI71" s="28">
        <v>55373768</v>
      </c>
      <c r="AJ71" s="28">
        <v>43214365</v>
      </c>
      <c r="AK71" s="28">
        <v>37662311</v>
      </c>
      <c r="AL71" s="28">
        <v>39389705</v>
      </c>
      <c r="AM71" s="28">
        <v>39547184</v>
      </c>
      <c r="AN71" s="28">
        <v>40587649</v>
      </c>
      <c r="AO71" s="28">
        <v>53519932</v>
      </c>
      <c r="AP71" s="28">
        <v>48859602</v>
      </c>
      <c r="AQ71" s="28">
        <v>41433987</v>
      </c>
      <c r="AR71" s="28">
        <v>36700986</v>
      </c>
      <c r="AS71" s="28">
        <v>40516641</v>
      </c>
      <c r="AT71" s="28">
        <v>50965288</v>
      </c>
      <c r="AU71" s="31">
        <v>0</v>
      </c>
      <c r="AV71" s="28">
        <v>390734000</v>
      </c>
      <c r="AW71" s="28">
        <v>33769500</v>
      </c>
      <c r="AX71" s="28">
        <v>33769500</v>
      </c>
      <c r="AY71" s="28">
        <v>34269500</v>
      </c>
      <c r="AZ71" s="28">
        <v>32269500</v>
      </c>
      <c r="BA71" s="28">
        <v>29769500</v>
      </c>
      <c r="BB71" s="28">
        <v>33769500</v>
      </c>
      <c r="BC71" s="28">
        <v>31769500</v>
      </c>
      <c r="BD71" s="28">
        <v>32769500</v>
      </c>
      <c r="BE71" s="28">
        <v>29769500</v>
      </c>
      <c r="BF71" s="28">
        <v>31769500</v>
      </c>
      <c r="BG71" s="28">
        <v>35269500</v>
      </c>
      <c r="BH71" s="28">
        <v>31769500</v>
      </c>
      <c r="BI71" s="28"/>
      <c r="BJ71" s="28">
        <v>390734000</v>
      </c>
      <c r="BK71" s="28">
        <v>33769500</v>
      </c>
      <c r="BL71" s="28">
        <v>33769500</v>
      </c>
      <c r="BM71" s="28">
        <v>34269500</v>
      </c>
      <c r="BN71" s="28">
        <v>32269500</v>
      </c>
      <c r="BO71" s="28">
        <v>29769500</v>
      </c>
      <c r="BP71" s="28">
        <v>33769500</v>
      </c>
      <c r="BQ71" s="28">
        <v>31769500</v>
      </c>
      <c r="BR71" s="28">
        <v>32769500</v>
      </c>
      <c r="BS71" s="28">
        <v>29769500</v>
      </c>
      <c r="BT71" s="28">
        <v>31769500</v>
      </c>
      <c r="BU71" s="28">
        <v>35269500</v>
      </c>
      <c r="BV71" s="28">
        <v>31769500</v>
      </c>
      <c r="BW71" s="97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97"/>
    </row>
    <row r="72" spans="1:103" s="40" customFormat="1" ht="26.25" customHeight="1" outlineLevel="1">
      <c r="A72" s="41"/>
      <c r="B72" s="55" t="s">
        <v>87</v>
      </c>
      <c r="C72" s="101" t="s">
        <v>88</v>
      </c>
      <c r="D72" s="102"/>
      <c r="E72" s="102" t="s">
        <v>89</v>
      </c>
      <c r="F72" s="36">
        <v>163376072</v>
      </c>
      <c r="G72" s="29">
        <v>27132313</v>
      </c>
      <c r="H72" s="29">
        <v>20301927</v>
      </c>
      <c r="I72" s="29">
        <v>21477894</v>
      </c>
      <c r="J72" s="29">
        <v>8129451</v>
      </c>
      <c r="K72" s="29">
        <v>10889193</v>
      </c>
      <c r="L72" s="29">
        <v>8950237</v>
      </c>
      <c r="M72" s="29">
        <v>9886799</v>
      </c>
      <c r="N72" s="29">
        <v>12843243</v>
      </c>
      <c r="O72" s="29">
        <v>12191105</v>
      </c>
      <c r="P72" s="29">
        <v>10743441</v>
      </c>
      <c r="Q72" s="29">
        <v>10423735</v>
      </c>
      <c r="R72" s="29">
        <v>10406734</v>
      </c>
      <c r="S72" s="29">
        <v>0</v>
      </c>
      <c r="T72" s="36">
        <v>336000000</v>
      </c>
      <c r="U72" s="37">
        <v>28000000</v>
      </c>
      <c r="V72" s="37">
        <v>28000000</v>
      </c>
      <c r="W72" s="37">
        <v>28000000</v>
      </c>
      <c r="X72" s="37">
        <v>28000000</v>
      </c>
      <c r="Y72" s="37">
        <v>28000000</v>
      </c>
      <c r="Z72" s="37">
        <v>28000000</v>
      </c>
      <c r="AA72" s="37">
        <v>28000000</v>
      </c>
      <c r="AB72" s="37">
        <v>28000000</v>
      </c>
      <c r="AC72" s="37">
        <v>28000000</v>
      </c>
      <c r="AD72" s="37">
        <v>28000000</v>
      </c>
      <c r="AE72" s="37">
        <v>28000000</v>
      </c>
      <c r="AF72" s="37">
        <v>28000000</v>
      </c>
      <c r="AG72" s="99" t="s">
        <v>90</v>
      </c>
      <c r="AH72" s="36">
        <v>328250501</v>
      </c>
      <c r="AI72" s="37">
        <v>27093268</v>
      </c>
      <c r="AJ72" s="37">
        <v>24414226</v>
      </c>
      <c r="AK72" s="37">
        <v>25941754</v>
      </c>
      <c r="AL72" s="37">
        <v>24878806</v>
      </c>
      <c r="AM72" s="37">
        <v>25401086</v>
      </c>
      <c r="AN72" s="37">
        <v>25607576</v>
      </c>
      <c r="AO72" s="37">
        <v>31559377</v>
      </c>
      <c r="AP72" s="37">
        <v>30410122</v>
      </c>
      <c r="AQ72" s="37">
        <v>27829304</v>
      </c>
      <c r="AR72" s="37">
        <v>28627692</v>
      </c>
      <c r="AS72" s="37">
        <v>26768056</v>
      </c>
      <c r="AT72" s="37">
        <v>29719234</v>
      </c>
      <c r="AU72" s="39">
        <v>0</v>
      </c>
      <c r="AV72" s="36">
        <v>170000000</v>
      </c>
      <c r="AW72" s="29">
        <v>15000000</v>
      </c>
      <c r="AX72" s="29">
        <v>14000000</v>
      </c>
      <c r="AY72" s="29">
        <v>15000000</v>
      </c>
      <c r="AZ72" s="29">
        <v>14000000</v>
      </c>
      <c r="BA72" s="29">
        <v>14000000</v>
      </c>
      <c r="BB72" s="29">
        <v>14000000</v>
      </c>
      <c r="BC72" s="29">
        <v>14000000</v>
      </c>
      <c r="BD72" s="29">
        <v>14000000</v>
      </c>
      <c r="BE72" s="29">
        <v>14000000</v>
      </c>
      <c r="BF72" s="29">
        <v>14000000</v>
      </c>
      <c r="BG72" s="29">
        <v>14000000</v>
      </c>
      <c r="BH72" s="29">
        <v>14000000</v>
      </c>
      <c r="BI72" s="29"/>
      <c r="BJ72" s="36">
        <v>170000000</v>
      </c>
      <c r="BK72" s="37">
        <v>15000000</v>
      </c>
      <c r="BL72" s="37">
        <v>14000000</v>
      </c>
      <c r="BM72" s="37">
        <v>15000000</v>
      </c>
      <c r="BN72" s="37">
        <v>14000000</v>
      </c>
      <c r="BO72" s="37">
        <v>14000000</v>
      </c>
      <c r="BP72" s="37">
        <v>14000000</v>
      </c>
      <c r="BQ72" s="37">
        <v>14000000</v>
      </c>
      <c r="BR72" s="37">
        <v>14000000</v>
      </c>
      <c r="BS72" s="37">
        <v>14000000</v>
      </c>
      <c r="BT72" s="37">
        <v>14000000</v>
      </c>
      <c r="BU72" s="37">
        <v>14000000</v>
      </c>
      <c r="BV72" s="37">
        <v>14000000</v>
      </c>
      <c r="BW72" s="99"/>
      <c r="BX72" s="36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36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99"/>
    </row>
    <row r="73" spans="1:103" s="71" customFormat="1" ht="19.5" customHeight="1" outlineLevel="1">
      <c r="A73" s="62" t="s">
        <v>91</v>
      </c>
      <c r="B73" s="55" t="s">
        <v>87</v>
      </c>
      <c r="C73" s="103" t="s">
        <v>92</v>
      </c>
      <c r="D73" s="104"/>
      <c r="E73" s="105" t="s">
        <v>92</v>
      </c>
      <c r="F73" s="66">
        <v>27183270</v>
      </c>
      <c r="G73" s="230">
        <v>1572667</v>
      </c>
      <c r="H73" s="67">
        <v>1572667</v>
      </c>
      <c r="I73" s="67">
        <v>1572663</v>
      </c>
      <c r="J73" s="67">
        <v>2290250</v>
      </c>
      <c r="K73" s="67">
        <v>1496250</v>
      </c>
      <c r="L73" s="67">
        <v>1496250</v>
      </c>
      <c r="M73" s="231">
        <v>3904523</v>
      </c>
      <c r="N73" s="231">
        <v>1496250</v>
      </c>
      <c r="O73" s="231">
        <v>1496250</v>
      </c>
      <c r="P73" s="67">
        <v>1496250</v>
      </c>
      <c r="Q73" s="67">
        <v>2395750</v>
      </c>
      <c r="R73" s="67">
        <v>6393500</v>
      </c>
      <c r="S73" s="67">
        <v>18184247</v>
      </c>
      <c r="T73" s="66">
        <v>25666000</v>
      </c>
      <c r="U73" s="68">
        <v>1572667</v>
      </c>
      <c r="V73" s="68">
        <v>5072667</v>
      </c>
      <c r="W73" s="68">
        <v>1572663</v>
      </c>
      <c r="X73" s="68">
        <v>1572667</v>
      </c>
      <c r="Y73" s="68">
        <v>1572667</v>
      </c>
      <c r="Z73" s="68">
        <v>2366667</v>
      </c>
      <c r="AA73" s="68">
        <v>4072667</v>
      </c>
      <c r="AB73" s="68">
        <v>1572667</v>
      </c>
      <c r="AC73" s="68">
        <v>1572667</v>
      </c>
      <c r="AD73" s="68">
        <v>1572667</v>
      </c>
      <c r="AE73" s="68">
        <v>1572667</v>
      </c>
      <c r="AF73" s="68">
        <v>1572667</v>
      </c>
      <c r="AG73" s="83" t="s">
        <v>93</v>
      </c>
      <c r="AH73" s="66">
        <v>28642483</v>
      </c>
      <c r="AI73" s="68">
        <v>1648977</v>
      </c>
      <c r="AJ73" s="68">
        <v>1648977</v>
      </c>
      <c r="AK73" s="68">
        <v>5156253</v>
      </c>
      <c r="AL73" s="68">
        <v>3892667</v>
      </c>
      <c r="AM73" s="68">
        <v>1572667</v>
      </c>
      <c r="AN73" s="68">
        <v>2366667</v>
      </c>
      <c r="AO73" s="68">
        <v>3992940</v>
      </c>
      <c r="AP73" s="68">
        <v>1572667</v>
      </c>
      <c r="AQ73" s="68">
        <v>1572667</v>
      </c>
      <c r="AR73" s="68">
        <v>1572667</v>
      </c>
      <c r="AS73" s="68">
        <v>2072667</v>
      </c>
      <c r="AT73" s="68">
        <v>1572667</v>
      </c>
      <c r="AU73" s="70">
        <v>0</v>
      </c>
      <c r="AV73" s="66">
        <v>28234000</v>
      </c>
      <c r="AW73" s="230">
        <v>1769500</v>
      </c>
      <c r="AX73" s="67">
        <v>1769500</v>
      </c>
      <c r="AY73" s="67">
        <v>5269500</v>
      </c>
      <c r="AZ73" s="67">
        <v>1769500</v>
      </c>
      <c r="BA73" s="67">
        <v>1769500</v>
      </c>
      <c r="BB73" s="67">
        <v>1769500</v>
      </c>
      <c r="BC73" s="231">
        <v>1769500</v>
      </c>
      <c r="BD73" s="231">
        <v>1769500</v>
      </c>
      <c r="BE73" s="231">
        <v>1769500</v>
      </c>
      <c r="BF73" s="67">
        <v>1769500</v>
      </c>
      <c r="BG73" s="67">
        <v>5269500</v>
      </c>
      <c r="BH73" s="67">
        <v>1769500</v>
      </c>
      <c r="BI73" s="67"/>
      <c r="BJ73" s="66">
        <v>28234000</v>
      </c>
      <c r="BK73" s="68">
        <v>1769500</v>
      </c>
      <c r="BL73" s="68">
        <v>1769500</v>
      </c>
      <c r="BM73" s="68">
        <v>5269500</v>
      </c>
      <c r="BN73" s="68">
        <v>1769500</v>
      </c>
      <c r="BO73" s="68">
        <v>1769500</v>
      </c>
      <c r="BP73" s="68">
        <v>1769500</v>
      </c>
      <c r="BQ73" s="68">
        <v>1769500</v>
      </c>
      <c r="BR73" s="68">
        <v>1769500</v>
      </c>
      <c r="BS73" s="68">
        <v>1769500</v>
      </c>
      <c r="BT73" s="68">
        <v>1769500</v>
      </c>
      <c r="BU73" s="68">
        <v>5269500</v>
      </c>
      <c r="BV73" s="68">
        <v>1769500</v>
      </c>
      <c r="BW73" s="83"/>
      <c r="BX73" s="66"/>
      <c r="BY73" s="230"/>
      <c r="BZ73" s="67"/>
      <c r="CA73" s="67"/>
      <c r="CB73" s="67"/>
      <c r="CC73" s="67"/>
      <c r="CD73" s="67"/>
      <c r="CE73" s="231"/>
      <c r="CF73" s="231"/>
      <c r="CG73" s="231"/>
      <c r="CH73" s="67"/>
      <c r="CI73" s="67"/>
      <c r="CJ73" s="67"/>
      <c r="CK73" s="67"/>
      <c r="CL73" s="66"/>
      <c r="CM73" s="68"/>
      <c r="CN73" s="68"/>
      <c r="CO73" s="68"/>
      <c r="CP73" s="68"/>
      <c r="CQ73" s="68"/>
      <c r="CR73" s="68"/>
      <c r="CS73" s="68"/>
      <c r="CT73" s="68"/>
      <c r="CU73" s="68"/>
      <c r="CV73" s="68"/>
      <c r="CW73" s="68"/>
      <c r="CX73" s="68"/>
      <c r="CY73" s="83"/>
    </row>
    <row r="74" spans="1:103" s="40" customFormat="1" ht="19.5" customHeight="1" outlineLevel="1">
      <c r="A74" s="41" t="s">
        <v>94</v>
      </c>
      <c r="B74" s="55" t="s">
        <v>87</v>
      </c>
      <c r="C74" s="101" t="s">
        <v>95</v>
      </c>
      <c r="D74" s="98"/>
      <c r="E74" s="102" t="s">
        <v>95</v>
      </c>
      <c r="F74" s="36">
        <v>63854259</v>
      </c>
      <c r="G74" s="29">
        <v>8695000</v>
      </c>
      <c r="H74" s="29">
        <v>0</v>
      </c>
      <c r="I74" s="29">
        <v>1900000</v>
      </c>
      <c r="J74" s="29">
        <v>0</v>
      </c>
      <c r="K74" s="29">
        <v>4480000</v>
      </c>
      <c r="L74" s="29">
        <v>1600000</v>
      </c>
      <c r="M74" s="29">
        <v>17285000</v>
      </c>
      <c r="N74" s="29">
        <v>0</v>
      </c>
      <c r="O74" s="29">
        <v>22215000</v>
      </c>
      <c r="P74" s="29">
        <v>7559259</v>
      </c>
      <c r="Q74" s="29">
        <v>120000</v>
      </c>
      <c r="R74" s="29">
        <v>0</v>
      </c>
      <c r="S74" s="29">
        <v>0</v>
      </c>
      <c r="T74" s="36">
        <v>30000000</v>
      </c>
      <c r="U74" s="37">
        <v>9000000</v>
      </c>
      <c r="V74" s="37">
        <v>1000000</v>
      </c>
      <c r="W74" s="37">
        <v>2000000</v>
      </c>
      <c r="X74" s="37">
        <v>2000000</v>
      </c>
      <c r="Y74" s="37">
        <v>2000000</v>
      </c>
      <c r="Z74" s="37">
        <v>2000000</v>
      </c>
      <c r="AA74" s="37">
        <v>2000000</v>
      </c>
      <c r="AB74" s="37">
        <v>2000000</v>
      </c>
      <c r="AC74" s="37">
        <v>2000000</v>
      </c>
      <c r="AD74" s="37">
        <v>2000000</v>
      </c>
      <c r="AE74" s="37">
        <v>2000000</v>
      </c>
      <c r="AF74" s="37">
        <v>2000000</v>
      </c>
      <c r="AG74" s="99"/>
      <c r="AH74" s="36">
        <v>19812148</v>
      </c>
      <c r="AI74" s="37">
        <v>6899000</v>
      </c>
      <c r="AJ74" s="37">
        <v>2875000</v>
      </c>
      <c r="AK74" s="37">
        <v>0</v>
      </c>
      <c r="AL74" s="37">
        <v>0</v>
      </c>
      <c r="AM74" s="37">
        <v>2080000</v>
      </c>
      <c r="AN74" s="37">
        <v>0</v>
      </c>
      <c r="AO74" s="37">
        <v>2360000</v>
      </c>
      <c r="AP74" s="37">
        <v>0</v>
      </c>
      <c r="AQ74" s="37">
        <v>648148</v>
      </c>
      <c r="AR74" s="37">
        <v>0</v>
      </c>
      <c r="AS74" s="37">
        <v>0</v>
      </c>
      <c r="AT74" s="37">
        <v>4950000</v>
      </c>
      <c r="AU74" s="39"/>
      <c r="AV74" s="36">
        <v>48000000</v>
      </c>
      <c r="AW74" s="29">
        <v>4000000</v>
      </c>
      <c r="AX74" s="29">
        <v>4000000</v>
      </c>
      <c r="AY74" s="29">
        <v>4000000</v>
      </c>
      <c r="AZ74" s="29">
        <v>4000000</v>
      </c>
      <c r="BA74" s="29">
        <v>4000000</v>
      </c>
      <c r="BB74" s="29">
        <v>4000000</v>
      </c>
      <c r="BC74" s="29">
        <v>4000000</v>
      </c>
      <c r="BD74" s="29">
        <v>4000000</v>
      </c>
      <c r="BE74" s="29">
        <v>4000000</v>
      </c>
      <c r="BF74" s="29">
        <v>4000000</v>
      </c>
      <c r="BG74" s="29">
        <v>4000000</v>
      </c>
      <c r="BH74" s="29">
        <v>4000000</v>
      </c>
      <c r="BI74" s="29"/>
      <c r="BJ74" s="36">
        <v>48000000</v>
      </c>
      <c r="BK74" s="37">
        <v>4000000</v>
      </c>
      <c r="BL74" s="37">
        <v>4000000</v>
      </c>
      <c r="BM74" s="37">
        <v>4000000</v>
      </c>
      <c r="BN74" s="37">
        <v>4000000</v>
      </c>
      <c r="BO74" s="37">
        <v>4000000</v>
      </c>
      <c r="BP74" s="37">
        <v>4000000</v>
      </c>
      <c r="BQ74" s="37">
        <v>4000000</v>
      </c>
      <c r="BR74" s="37">
        <v>4000000</v>
      </c>
      <c r="BS74" s="37">
        <v>4000000</v>
      </c>
      <c r="BT74" s="37">
        <v>4000000</v>
      </c>
      <c r="BU74" s="37">
        <v>4000000</v>
      </c>
      <c r="BV74" s="37">
        <v>4000000</v>
      </c>
      <c r="BW74" s="99"/>
      <c r="BX74" s="36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36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99"/>
    </row>
    <row r="75" spans="1:103" s="40" customFormat="1" ht="19.5" customHeight="1" outlineLevel="1">
      <c r="A75" s="41" t="s">
        <v>96</v>
      </c>
      <c r="B75" s="55" t="s">
        <v>87</v>
      </c>
      <c r="C75" s="91" t="s">
        <v>97</v>
      </c>
      <c r="D75" s="98"/>
      <c r="E75" s="58" t="s">
        <v>97</v>
      </c>
      <c r="F75" s="36">
        <v>136616412</v>
      </c>
      <c r="G75" s="29">
        <v>11390797</v>
      </c>
      <c r="H75" s="29">
        <v>13487456</v>
      </c>
      <c r="I75" s="29">
        <v>9292253</v>
      </c>
      <c r="J75" s="29">
        <v>12233185</v>
      </c>
      <c r="K75" s="29">
        <v>9491801</v>
      </c>
      <c r="L75" s="29">
        <v>13306852</v>
      </c>
      <c r="M75" s="29">
        <v>11360817</v>
      </c>
      <c r="N75" s="29">
        <v>12865267</v>
      </c>
      <c r="O75" s="29">
        <v>8934490</v>
      </c>
      <c r="P75" s="29">
        <v>11933331</v>
      </c>
      <c r="Q75" s="29">
        <v>11238002</v>
      </c>
      <c r="R75" s="29">
        <v>11082161</v>
      </c>
      <c r="S75" s="29">
        <v>0</v>
      </c>
      <c r="T75" s="36">
        <v>150000000</v>
      </c>
      <c r="U75" s="37">
        <v>12500000</v>
      </c>
      <c r="V75" s="37">
        <v>12500000</v>
      </c>
      <c r="W75" s="37">
        <v>12500000</v>
      </c>
      <c r="X75" s="37">
        <v>12500000</v>
      </c>
      <c r="Y75" s="37">
        <v>12500000</v>
      </c>
      <c r="Z75" s="37">
        <v>12500000</v>
      </c>
      <c r="AA75" s="37">
        <v>12500000</v>
      </c>
      <c r="AB75" s="37">
        <v>12500000</v>
      </c>
      <c r="AC75" s="37">
        <v>12500000</v>
      </c>
      <c r="AD75" s="37">
        <v>12500000</v>
      </c>
      <c r="AE75" s="37">
        <v>12500000</v>
      </c>
      <c r="AF75" s="37">
        <v>12500000</v>
      </c>
      <c r="AG75" s="99"/>
      <c r="AH75" s="36">
        <v>151066286</v>
      </c>
      <c r="AI75" s="37">
        <v>19732523</v>
      </c>
      <c r="AJ75" s="37">
        <v>14276162</v>
      </c>
      <c r="AK75" s="37">
        <v>6564304</v>
      </c>
      <c r="AL75" s="37">
        <v>10618232</v>
      </c>
      <c r="AM75" s="37">
        <v>10493431</v>
      </c>
      <c r="AN75" s="37">
        <v>12613406</v>
      </c>
      <c r="AO75" s="37">
        <v>15607615</v>
      </c>
      <c r="AP75" s="37">
        <v>16876813</v>
      </c>
      <c r="AQ75" s="37">
        <v>11383868</v>
      </c>
      <c r="AR75" s="37">
        <v>6500627</v>
      </c>
      <c r="AS75" s="37">
        <v>11675918</v>
      </c>
      <c r="AT75" s="37">
        <v>14723387</v>
      </c>
      <c r="AU75" s="39"/>
      <c r="AV75" s="36">
        <v>144500000</v>
      </c>
      <c r="AW75" s="29">
        <v>13000000</v>
      </c>
      <c r="AX75" s="29">
        <v>14000000</v>
      </c>
      <c r="AY75" s="29">
        <v>10000000</v>
      </c>
      <c r="AZ75" s="29">
        <v>12500000</v>
      </c>
      <c r="BA75" s="29">
        <v>10000000</v>
      </c>
      <c r="BB75" s="29">
        <v>14000000</v>
      </c>
      <c r="BC75" s="29">
        <v>12000000</v>
      </c>
      <c r="BD75" s="29">
        <v>13000000</v>
      </c>
      <c r="BE75" s="29">
        <v>10000000</v>
      </c>
      <c r="BF75" s="29">
        <v>12000000</v>
      </c>
      <c r="BG75" s="29">
        <v>12000000</v>
      </c>
      <c r="BH75" s="29">
        <v>12000000</v>
      </c>
      <c r="BI75" s="29"/>
      <c r="BJ75" s="36">
        <v>144500000</v>
      </c>
      <c r="BK75" s="37">
        <v>13000000</v>
      </c>
      <c r="BL75" s="37">
        <v>14000000</v>
      </c>
      <c r="BM75" s="37">
        <v>10000000</v>
      </c>
      <c r="BN75" s="37">
        <v>12500000</v>
      </c>
      <c r="BO75" s="37">
        <v>10000000</v>
      </c>
      <c r="BP75" s="37">
        <v>14000000</v>
      </c>
      <c r="BQ75" s="37">
        <v>12000000</v>
      </c>
      <c r="BR75" s="37">
        <v>13000000</v>
      </c>
      <c r="BS75" s="37">
        <v>10000000</v>
      </c>
      <c r="BT75" s="37">
        <v>12000000</v>
      </c>
      <c r="BU75" s="37">
        <v>12000000</v>
      </c>
      <c r="BV75" s="37">
        <v>12000000</v>
      </c>
      <c r="BW75" s="99"/>
      <c r="BX75" s="36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36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99"/>
    </row>
    <row r="76" spans="1:103" s="32" customFormat="1" ht="19.5" customHeight="1">
      <c r="A76" s="41">
        <v>30</v>
      </c>
      <c r="B76" s="61" t="s">
        <v>98</v>
      </c>
      <c r="C76" s="55"/>
      <c r="D76" s="56"/>
      <c r="E76" s="77" t="s">
        <v>98</v>
      </c>
      <c r="F76" s="28">
        <v>183580000</v>
      </c>
      <c r="G76" s="28">
        <v>17220000</v>
      </c>
      <c r="H76" s="28">
        <v>15490000</v>
      </c>
      <c r="I76" s="28">
        <v>15490000</v>
      </c>
      <c r="J76" s="28">
        <v>13550000</v>
      </c>
      <c r="K76" s="28">
        <v>14450000</v>
      </c>
      <c r="L76" s="28">
        <v>15770000</v>
      </c>
      <c r="M76" s="28">
        <v>15680000</v>
      </c>
      <c r="N76" s="28">
        <v>15510000</v>
      </c>
      <c r="O76" s="29">
        <v>15350000</v>
      </c>
      <c r="P76" s="29">
        <v>15000000</v>
      </c>
      <c r="Q76" s="29">
        <v>15000000</v>
      </c>
      <c r="R76" s="29">
        <v>15070000</v>
      </c>
      <c r="S76" s="29">
        <v>0</v>
      </c>
      <c r="T76" s="28">
        <v>204000000</v>
      </c>
      <c r="U76" s="28">
        <v>17000000</v>
      </c>
      <c r="V76" s="28">
        <v>17000000</v>
      </c>
      <c r="W76" s="28">
        <v>17000000</v>
      </c>
      <c r="X76" s="28">
        <v>17000000</v>
      </c>
      <c r="Y76" s="28">
        <v>17000000</v>
      </c>
      <c r="Z76" s="28">
        <v>17000000</v>
      </c>
      <c r="AA76" s="28">
        <v>17000000</v>
      </c>
      <c r="AB76" s="28">
        <v>17000000</v>
      </c>
      <c r="AC76" s="28">
        <v>17000000</v>
      </c>
      <c r="AD76" s="28">
        <v>17000000</v>
      </c>
      <c r="AE76" s="28">
        <v>17000000</v>
      </c>
      <c r="AF76" s="28">
        <v>17000000</v>
      </c>
      <c r="AG76" s="57"/>
      <c r="AH76" s="28">
        <v>230530000</v>
      </c>
      <c r="AI76" s="28">
        <v>18670000</v>
      </c>
      <c r="AJ76" s="28">
        <v>20260000</v>
      </c>
      <c r="AK76" s="28">
        <v>20190000</v>
      </c>
      <c r="AL76" s="28">
        <v>18530000</v>
      </c>
      <c r="AM76" s="28">
        <v>18880000</v>
      </c>
      <c r="AN76" s="28">
        <v>19580000</v>
      </c>
      <c r="AO76" s="28">
        <v>19650000</v>
      </c>
      <c r="AP76" s="28">
        <v>19930000</v>
      </c>
      <c r="AQ76" s="28">
        <v>20070000</v>
      </c>
      <c r="AR76" s="28">
        <v>19020000</v>
      </c>
      <c r="AS76" s="28">
        <v>18810000</v>
      </c>
      <c r="AT76" s="28">
        <v>16940000</v>
      </c>
      <c r="AU76" s="31"/>
      <c r="AV76" s="28">
        <v>186000000</v>
      </c>
      <c r="AW76" s="28">
        <v>15500000</v>
      </c>
      <c r="AX76" s="28">
        <v>15500000</v>
      </c>
      <c r="AY76" s="28">
        <v>15500000</v>
      </c>
      <c r="AZ76" s="28">
        <v>15500000</v>
      </c>
      <c r="BA76" s="28">
        <v>15500000</v>
      </c>
      <c r="BB76" s="28">
        <v>15500000</v>
      </c>
      <c r="BC76" s="28">
        <v>15500000</v>
      </c>
      <c r="BD76" s="28">
        <v>15500000</v>
      </c>
      <c r="BE76" s="29">
        <v>15500000</v>
      </c>
      <c r="BF76" s="29">
        <v>15500000</v>
      </c>
      <c r="BG76" s="29">
        <v>15500000</v>
      </c>
      <c r="BH76" s="29">
        <v>15500000</v>
      </c>
      <c r="BI76" s="29"/>
      <c r="BJ76" s="28">
        <v>186000000</v>
      </c>
      <c r="BK76" s="28">
        <v>15500000</v>
      </c>
      <c r="BL76" s="28">
        <v>15500000</v>
      </c>
      <c r="BM76" s="28">
        <v>15500000</v>
      </c>
      <c r="BN76" s="28">
        <v>15500000</v>
      </c>
      <c r="BO76" s="28">
        <v>15500000</v>
      </c>
      <c r="BP76" s="28">
        <v>15500000</v>
      </c>
      <c r="BQ76" s="28">
        <v>15500000</v>
      </c>
      <c r="BR76" s="28">
        <v>15500000</v>
      </c>
      <c r="BS76" s="28">
        <v>15500000</v>
      </c>
      <c r="BT76" s="28">
        <v>15500000</v>
      </c>
      <c r="BU76" s="28">
        <v>15500000</v>
      </c>
      <c r="BV76" s="28">
        <v>15500000</v>
      </c>
      <c r="BW76" s="57"/>
      <c r="BX76" s="28"/>
      <c r="BY76" s="28"/>
      <c r="BZ76" s="28"/>
      <c r="CA76" s="28"/>
      <c r="CB76" s="28"/>
      <c r="CC76" s="28"/>
      <c r="CD76" s="28"/>
      <c r="CE76" s="28"/>
      <c r="CF76" s="28"/>
      <c r="CG76" s="29"/>
      <c r="CH76" s="29"/>
      <c r="CI76" s="29"/>
      <c r="CJ76" s="29"/>
      <c r="CK76" s="29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57"/>
    </row>
    <row r="77" spans="1:103" s="32" customFormat="1" ht="19.5" customHeight="1">
      <c r="A77" s="41">
        <v>28</v>
      </c>
      <c r="B77" s="55" t="s">
        <v>99</v>
      </c>
      <c r="C77" s="106"/>
      <c r="D77" s="96"/>
      <c r="E77" s="56" t="s">
        <v>99</v>
      </c>
      <c r="F77" s="28">
        <v>420000000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210000000</v>
      </c>
      <c r="M77" s="28">
        <v>0</v>
      </c>
      <c r="N77" s="28">
        <v>0</v>
      </c>
      <c r="O77" s="29">
        <v>0</v>
      </c>
      <c r="P77" s="29">
        <v>0</v>
      </c>
      <c r="Q77" s="29">
        <v>0</v>
      </c>
      <c r="R77" s="29">
        <v>210000000</v>
      </c>
      <c r="S77" s="29">
        <v>0</v>
      </c>
      <c r="T77" s="28">
        <v>390000000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195000000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195000000</v>
      </c>
      <c r="AG77" s="97"/>
      <c r="AH77" s="28">
        <v>450000000</v>
      </c>
      <c r="AI77" s="28">
        <v>0</v>
      </c>
      <c r="AJ77" s="28">
        <v>0</v>
      </c>
      <c r="AK77" s="28">
        <v>0</v>
      </c>
      <c r="AL77" s="28">
        <v>0</v>
      </c>
      <c r="AM77" s="28">
        <v>75000000</v>
      </c>
      <c r="AN77" s="28">
        <v>180000000</v>
      </c>
      <c r="AO77" s="28">
        <v>0</v>
      </c>
      <c r="AP77" s="28">
        <v>0</v>
      </c>
      <c r="AQ77" s="28">
        <v>0</v>
      </c>
      <c r="AR77" s="28">
        <v>0</v>
      </c>
      <c r="AS77" s="28">
        <v>0</v>
      </c>
      <c r="AT77" s="28">
        <v>195000000</v>
      </c>
      <c r="AU77" s="31"/>
      <c r="AV77" s="28">
        <v>420000000</v>
      </c>
      <c r="AW77" s="28"/>
      <c r="AX77" s="28"/>
      <c r="AY77" s="28"/>
      <c r="AZ77" s="28"/>
      <c r="BA77" s="28"/>
      <c r="BB77" s="28">
        <v>210000000</v>
      </c>
      <c r="BC77" s="28">
        <v>0</v>
      </c>
      <c r="BD77" s="28">
        <v>0</v>
      </c>
      <c r="BE77" s="29">
        <v>0</v>
      </c>
      <c r="BF77" s="29">
        <v>0</v>
      </c>
      <c r="BG77" s="29">
        <v>0</v>
      </c>
      <c r="BH77" s="29">
        <v>210000000</v>
      </c>
      <c r="BI77" s="29"/>
      <c r="BJ77" s="28">
        <v>420000000</v>
      </c>
      <c r="BK77" s="28"/>
      <c r="BL77" s="28"/>
      <c r="BM77" s="28"/>
      <c r="BN77" s="28"/>
      <c r="BO77" s="28"/>
      <c r="BP77" s="28">
        <v>210000000</v>
      </c>
      <c r="BQ77" s="28">
        <v>0</v>
      </c>
      <c r="BR77" s="28">
        <v>0</v>
      </c>
      <c r="BS77" s="28">
        <v>0</v>
      </c>
      <c r="BT77" s="28">
        <v>0</v>
      </c>
      <c r="BU77" s="28">
        <v>0</v>
      </c>
      <c r="BV77" s="28">
        <v>210000000</v>
      </c>
      <c r="BW77" s="97"/>
      <c r="BX77" s="28"/>
      <c r="BY77" s="28"/>
      <c r="BZ77" s="28"/>
      <c r="CA77" s="28"/>
      <c r="CB77" s="28"/>
      <c r="CC77" s="28"/>
      <c r="CD77" s="28"/>
      <c r="CE77" s="28"/>
      <c r="CF77" s="28"/>
      <c r="CG77" s="29"/>
      <c r="CH77" s="29"/>
      <c r="CI77" s="29"/>
      <c r="CJ77" s="29"/>
      <c r="CK77" s="29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97"/>
    </row>
    <row r="78" spans="1:103" s="32" customFormat="1" ht="19.5" customHeight="1">
      <c r="A78" s="41">
        <v>29</v>
      </c>
      <c r="B78" s="61" t="s">
        <v>100</v>
      </c>
      <c r="C78" s="95"/>
      <c r="D78" s="96"/>
      <c r="E78" s="77" t="s">
        <v>100</v>
      </c>
      <c r="F78" s="28">
        <v>68595174</v>
      </c>
      <c r="G78" s="28">
        <v>0</v>
      </c>
      <c r="H78" s="28">
        <v>9466704</v>
      </c>
      <c r="I78" s="28">
        <v>0</v>
      </c>
      <c r="J78" s="28">
        <v>8183193</v>
      </c>
      <c r="K78" s="28">
        <v>0</v>
      </c>
      <c r="L78" s="28">
        <v>13440814</v>
      </c>
      <c r="M78" s="28">
        <v>21027057</v>
      </c>
      <c r="N78" s="28">
        <v>0</v>
      </c>
      <c r="O78" s="29">
        <v>0</v>
      </c>
      <c r="P78" s="29">
        <v>0</v>
      </c>
      <c r="Q78" s="29">
        <v>7022629</v>
      </c>
      <c r="R78" s="29">
        <v>9454777</v>
      </c>
      <c r="S78" s="29">
        <v>0</v>
      </c>
      <c r="T78" s="28">
        <v>330000000</v>
      </c>
      <c r="U78" s="28">
        <v>0</v>
      </c>
      <c r="V78" s="28">
        <v>10000000</v>
      </c>
      <c r="W78" s="28">
        <v>32000000</v>
      </c>
      <c r="X78" s="28">
        <v>32000000</v>
      </c>
      <c r="Y78" s="28">
        <v>32000000</v>
      </c>
      <c r="Z78" s="28">
        <v>32000000</v>
      </c>
      <c r="AA78" s="28">
        <v>32000000</v>
      </c>
      <c r="AB78" s="28">
        <v>32000000</v>
      </c>
      <c r="AC78" s="28">
        <v>32000000</v>
      </c>
      <c r="AD78" s="28">
        <v>32000000</v>
      </c>
      <c r="AE78" s="28">
        <v>32000000</v>
      </c>
      <c r="AF78" s="28">
        <v>32000000</v>
      </c>
      <c r="AG78" s="97"/>
      <c r="AH78" s="28">
        <v>287167102</v>
      </c>
      <c r="AI78" s="28">
        <v>50323519</v>
      </c>
      <c r="AJ78" s="28">
        <v>0</v>
      </c>
      <c r="AK78" s="28">
        <v>35281481</v>
      </c>
      <c r="AL78" s="28">
        <v>24490741</v>
      </c>
      <c r="AM78" s="28">
        <v>20517852</v>
      </c>
      <c r="AN78" s="28">
        <v>7994482</v>
      </c>
      <c r="AO78" s="28">
        <v>49947038</v>
      </c>
      <c r="AP78" s="28">
        <v>15384815</v>
      </c>
      <c r="AQ78" s="28">
        <v>14552852</v>
      </c>
      <c r="AR78" s="28">
        <v>24127852</v>
      </c>
      <c r="AS78" s="28">
        <v>6758370</v>
      </c>
      <c r="AT78" s="28">
        <v>37788100</v>
      </c>
      <c r="AU78" s="31"/>
      <c r="AV78" s="28">
        <v>72000000</v>
      </c>
      <c r="AW78" s="28">
        <v>6000000</v>
      </c>
      <c r="AX78" s="28">
        <v>6000000</v>
      </c>
      <c r="AY78" s="28">
        <v>6000000</v>
      </c>
      <c r="AZ78" s="28">
        <v>6000000</v>
      </c>
      <c r="BA78" s="28">
        <v>6000000</v>
      </c>
      <c r="BB78" s="28">
        <v>6000000</v>
      </c>
      <c r="BC78" s="28">
        <v>6000000</v>
      </c>
      <c r="BD78" s="28">
        <v>6000000</v>
      </c>
      <c r="BE78" s="29">
        <v>6000000</v>
      </c>
      <c r="BF78" s="29">
        <v>6000000</v>
      </c>
      <c r="BG78" s="29">
        <v>6000000</v>
      </c>
      <c r="BH78" s="29">
        <v>6000000</v>
      </c>
      <c r="BI78" s="29"/>
      <c r="BJ78" s="28">
        <v>72000000</v>
      </c>
      <c r="BK78" s="28">
        <v>6000000</v>
      </c>
      <c r="BL78" s="28">
        <v>6000000</v>
      </c>
      <c r="BM78" s="28">
        <v>6000000</v>
      </c>
      <c r="BN78" s="28">
        <v>6000000</v>
      </c>
      <c r="BO78" s="28">
        <v>6000000</v>
      </c>
      <c r="BP78" s="28">
        <v>6000000</v>
      </c>
      <c r="BQ78" s="28">
        <v>6000000</v>
      </c>
      <c r="BR78" s="28">
        <v>6000000</v>
      </c>
      <c r="BS78" s="28">
        <v>6000000</v>
      </c>
      <c r="BT78" s="28">
        <v>6000000</v>
      </c>
      <c r="BU78" s="28">
        <v>6000000</v>
      </c>
      <c r="BV78" s="28">
        <v>6000000</v>
      </c>
      <c r="BW78" s="97"/>
      <c r="BX78" s="28"/>
      <c r="BY78" s="28"/>
      <c r="BZ78" s="28"/>
      <c r="CA78" s="28"/>
      <c r="CB78" s="28"/>
      <c r="CC78" s="28"/>
      <c r="CD78" s="28"/>
      <c r="CE78" s="28"/>
      <c r="CF78" s="28"/>
      <c r="CG78" s="29"/>
      <c r="CH78" s="29"/>
      <c r="CI78" s="29"/>
      <c r="CJ78" s="29"/>
      <c r="CK78" s="29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97"/>
    </row>
    <row r="79" spans="1:103" s="32" customFormat="1" ht="19.5" customHeight="1">
      <c r="A79" s="41">
        <v>33</v>
      </c>
      <c r="B79" s="107" t="s">
        <v>101</v>
      </c>
      <c r="C79" s="95"/>
      <c r="D79" s="96"/>
      <c r="E79" s="96"/>
      <c r="F79" s="28">
        <v>1257707246</v>
      </c>
      <c r="G79" s="28">
        <v>172269401</v>
      </c>
      <c r="H79" s="28">
        <v>60315430</v>
      </c>
      <c r="I79" s="28">
        <v>38555170</v>
      </c>
      <c r="J79" s="28">
        <v>67531241</v>
      </c>
      <c r="K79" s="28">
        <v>31014445</v>
      </c>
      <c r="L79" s="28">
        <v>181065535</v>
      </c>
      <c r="M79" s="28">
        <v>110053166</v>
      </c>
      <c r="N79" s="28">
        <v>135188037</v>
      </c>
      <c r="O79" s="28">
        <v>162086775</v>
      </c>
      <c r="P79" s="28">
        <v>124715070</v>
      </c>
      <c r="Q79" s="28">
        <v>115437174</v>
      </c>
      <c r="R79" s="28">
        <v>59475802</v>
      </c>
      <c r="S79" s="28">
        <v>0</v>
      </c>
      <c r="T79" s="28">
        <v>1022851852</v>
      </c>
      <c r="U79" s="28">
        <v>185851852</v>
      </c>
      <c r="V79" s="28">
        <v>235000000</v>
      </c>
      <c r="W79" s="28">
        <v>41000000</v>
      </c>
      <c r="X79" s="28">
        <v>44000000</v>
      </c>
      <c r="Y79" s="28">
        <v>39000000</v>
      </c>
      <c r="Z79" s="28">
        <v>94000000</v>
      </c>
      <c r="AA79" s="28">
        <v>39000000</v>
      </c>
      <c r="AB79" s="28">
        <v>44000000</v>
      </c>
      <c r="AC79" s="28">
        <v>79000000</v>
      </c>
      <c r="AD79" s="28">
        <v>119000000</v>
      </c>
      <c r="AE79" s="28">
        <v>49000000</v>
      </c>
      <c r="AF79" s="28">
        <v>54000000</v>
      </c>
      <c r="AG79" s="256"/>
      <c r="AH79" s="28">
        <v>804227801</v>
      </c>
      <c r="AI79" s="28">
        <v>99171583</v>
      </c>
      <c r="AJ79" s="28">
        <v>30742259</v>
      </c>
      <c r="AK79" s="28">
        <v>193122862</v>
      </c>
      <c r="AL79" s="28">
        <v>23296131</v>
      </c>
      <c r="AM79" s="28">
        <v>45431543</v>
      </c>
      <c r="AN79" s="28">
        <v>11213506</v>
      </c>
      <c r="AO79" s="28">
        <v>75782795</v>
      </c>
      <c r="AP79" s="28">
        <v>66926239</v>
      </c>
      <c r="AQ79" s="28">
        <v>72636368</v>
      </c>
      <c r="AR79" s="28">
        <v>20033562</v>
      </c>
      <c r="AS79" s="28">
        <v>64960939</v>
      </c>
      <c r="AT79" s="28">
        <v>100910014</v>
      </c>
      <c r="AU79" s="31"/>
      <c r="AV79" s="28">
        <v>1650000000</v>
      </c>
      <c r="AW79" s="28">
        <v>72000000</v>
      </c>
      <c r="AX79" s="28">
        <v>203000000</v>
      </c>
      <c r="AY79" s="28">
        <v>107000000</v>
      </c>
      <c r="AZ79" s="28">
        <v>132000000</v>
      </c>
      <c r="BA79" s="28">
        <v>102000000</v>
      </c>
      <c r="BB79" s="28">
        <v>152000000</v>
      </c>
      <c r="BC79" s="28">
        <v>97000000</v>
      </c>
      <c r="BD79" s="28">
        <v>97000000</v>
      </c>
      <c r="BE79" s="28">
        <v>142000000</v>
      </c>
      <c r="BF79" s="28">
        <v>202000000</v>
      </c>
      <c r="BG79" s="28">
        <v>97000000</v>
      </c>
      <c r="BH79" s="28">
        <v>247000000</v>
      </c>
      <c r="BI79" s="28"/>
      <c r="BJ79" s="28">
        <v>1650000000</v>
      </c>
      <c r="BK79" s="28">
        <v>72000000</v>
      </c>
      <c r="BL79" s="28">
        <v>203000000</v>
      </c>
      <c r="BM79" s="28">
        <v>107000000</v>
      </c>
      <c r="BN79" s="28">
        <v>132000000</v>
      </c>
      <c r="BO79" s="28">
        <v>102000000</v>
      </c>
      <c r="BP79" s="28">
        <v>152000000</v>
      </c>
      <c r="BQ79" s="28">
        <v>97000000</v>
      </c>
      <c r="BR79" s="28">
        <v>97000000</v>
      </c>
      <c r="BS79" s="28">
        <v>142000000</v>
      </c>
      <c r="BT79" s="28">
        <v>202000000</v>
      </c>
      <c r="BU79" s="28">
        <v>97000000</v>
      </c>
      <c r="BV79" s="28">
        <v>247000000</v>
      </c>
      <c r="BW79" s="97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97"/>
    </row>
    <row r="80" spans="1:103" s="40" customFormat="1" ht="33.75" customHeight="1" outlineLevel="1">
      <c r="A80" s="41"/>
      <c r="B80" s="107" t="s">
        <v>101</v>
      </c>
      <c r="C80" s="101" t="s">
        <v>102</v>
      </c>
      <c r="D80" s="98"/>
      <c r="E80" s="102" t="s">
        <v>103</v>
      </c>
      <c r="F80" s="36">
        <v>378186932</v>
      </c>
      <c r="G80" s="29">
        <v>169833424</v>
      </c>
      <c r="H80" s="29">
        <v>23182302</v>
      </c>
      <c r="I80" s="29">
        <v>12732222</v>
      </c>
      <c r="J80" s="29">
        <v>47426987</v>
      </c>
      <c r="K80" s="29">
        <v>10636744</v>
      </c>
      <c r="L80" s="29">
        <v>32244149</v>
      </c>
      <c r="M80" s="29">
        <v>6961776</v>
      </c>
      <c r="N80" s="29">
        <v>28555622</v>
      </c>
      <c r="O80" s="29">
        <v>22729239</v>
      </c>
      <c r="P80" s="29">
        <v>27431205</v>
      </c>
      <c r="Q80" s="29">
        <v>7239239</v>
      </c>
      <c r="R80" s="29">
        <v>821760</v>
      </c>
      <c r="S80" s="29">
        <v>0</v>
      </c>
      <c r="T80" s="36">
        <v>542000000</v>
      </c>
      <c r="U80" s="37">
        <v>180000000</v>
      </c>
      <c r="V80" s="37">
        <v>22000000</v>
      </c>
      <c r="W80" s="37">
        <v>32000000</v>
      </c>
      <c r="X80" s="37">
        <v>32000000</v>
      </c>
      <c r="Y80" s="37">
        <v>32000000</v>
      </c>
      <c r="Z80" s="37">
        <v>37000000</v>
      </c>
      <c r="AA80" s="37">
        <v>32000000</v>
      </c>
      <c r="AB80" s="37">
        <v>32000000</v>
      </c>
      <c r="AC80" s="37">
        <v>37000000</v>
      </c>
      <c r="AD80" s="37">
        <v>37000000</v>
      </c>
      <c r="AE80" s="37">
        <v>37000000</v>
      </c>
      <c r="AF80" s="37">
        <v>32000000</v>
      </c>
      <c r="AG80" s="99"/>
      <c r="AH80" s="36">
        <v>548818441</v>
      </c>
      <c r="AI80" s="37">
        <v>61527833</v>
      </c>
      <c r="AJ80" s="37">
        <v>15108314</v>
      </c>
      <c r="AK80" s="37">
        <v>134544032</v>
      </c>
      <c r="AL80" s="37">
        <v>23296131</v>
      </c>
      <c r="AM80" s="37">
        <v>43234240</v>
      </c>
      <c r="AN80" s="37">
        <v>411750</v>
      </c>
      <c r="AO80" s="37">
        <v>44906050</v>
      </c>
      <c r="AP80" s="37">
        <v>27422272</v>
      </c>
      <c r="AQ80" s="37">
        <v>40991739</v>
      </c>
      <c r="AR80" s="37">
        <v>7565317</v>
      </c>
      <c r="AS80" s="37">
        <v>59367111</v>
      </c>
      <c r="AT80" s="37">
        <v>90443652</v>
      </c>
      <c r="AU80" s="39"/>
      <c r="AV80" s="36">
        <v>410000000</v>
      </c>
      <c r="AW80" s="29">
        <v>15000000</v>
      </c>
      <c r="AX80" s="29">
        <v>100000000</v>
      </c>
      <c r="AY80" s="29">
        <v>25000000</v>
      </c>
      <c r="AZ80" s="29">
        <v>50000000</v>
      </c>
      <c r="BA80" s="29">
        <v>20000000</v>
      </c>
      <c r="BB80" s="29">
        <v>20000000</v>
      </c>
      <c r="BC80" s="29">
        <v>20000000</v>
      </c>
      <c r="BD80" s="29">
        <v>20000000</v>
      </c>
      <c r="BE80" s="29">
        <v>30000000</v>
      </c>
      <c r="BF80" s="29">
        <v>60000000</v>
      </c>
      <c r="BG80" s="29">
        <v>20000000</v>
      </c>
      <c r="BH80" s="29">
        <v>30000000</v>
      </c>
      <c r="BI80" s="29"/>
      <c r="BJ80" s="36">
        <v>410000000</v>
      </c>
      <c r="BK80" s="37">
        <v>15000000</v>
      </c>
      <c r="BL80" s="37">
        <v>100000000</v>
      </c>
      <c r="BM80" s="37">
        <v>25000000</v>
      </c>
      <c r="BN80" s="37">
        <v>50000000</v>
      </c>
      <c r="BO80" s="37">
        <v>20000000</v>
      </c>
      <c r="BP80" s="37">
        <v>20000000</v>
      </c>
      <c r="BQ80" s="37">
        <v>20000000</v>
      </c>
      <c r="BR80" s="37">
        <v>20000000</v>
      </c>
      <c r="BS80" s="37">
        <v>30000000</v>
      </c>
      <c r="BT80" s="37">
        <v>60000000</v>
      </c>
      <c r="BU80" s="37">
        <v>20000000</v>
      </c>
      <c r="BV80" s="37">
        <v>30000000</v>
      </c>
      <c r="BW80" s="99"/>
      <c r="BX80" s="36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3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99"/>
    </row>
    <row r="81" spans="1:103" s="40" customFormat="1" ht="33.75" customHeight="1" outlineLevel="1">
      <c r="A81" s="41"/>
      <c r="B81" s="107" t="s">
        <v>101</v>
      </c>
      <c r="C81" s="101"/>
      <c r="D81" s="98"/>
      <c r="E81" s="102" t="s">
        <v>403</v>
      </c>
      <c r="F81" s="36">
        <v>497314243</v>
      </c>
      <c r="G81" s="29"/>
      <c r="H81" s="29"/>
      <c r="I81" s="29"/>
      <c r="J81" s="29"/>
      <c r="K81" s="29">
        <v>0</v>
      </c>
      <c r="L81" s="29">
        <v>107837007</v>
      </c>
      <c r="M81" s="29">
        <v>67678101</v>
      </c>
      <c r="N81" s="29">
        <v>68196511</v>
      </c>
      <c r="O81" s="29">
        <v>43110852</v>
      </c>
      <c r="P81" s="29">
        <v>67412876</v>
      </c>
      <c r="Q81" s="29">
        <v>92423496</v>
      </c>
      <c r="R81" s="29">
        <v>39047663</v>
      </c>
      <c r="S81" s="29"/>
      <c r="T81" s="36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99"/>
      <c r="AH81" s="36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9"/>
      <c r="AV81" s="36">
        <v>805000000</v>
      </c>
      <c r="AW81" s="29">
        <v>35000000</v>
      </c>
      <c r="AX81" s="29">
        <v>70000000</v>
      </c>
      <c r="AY81" s="29">
        <v>70000000</v>
      </c>
      <c r="AZ81" s="29">
        <v>70000000</v>
      </c>
      <c r="BA81" s="29">
        <v>70000000</v>
      </c>
      <c r="BB81" s="29">
        <v>70000000</v>
      </c>
      <c r="BC81" s="29">
        <v>70000000</v>
      </c>
      <c r="BD81" s="29">
        <v>70000000</v>
      </c>
      <c r="BE81" s="29">
        <v>70000000</v>
      </c>
      <c r="BF81" s="29">
        <v>70000000</v>
      </c>
      <c r="BG81" s="29">
        <v>70000000</v>
      </c>
      <c r="BH81" s="29">
        <v>70000000</v>
      </c>
      <c r="BI81" s="29"/>
      <c r="BJ81" s="36">
        <v>805000000</v>
      </c>
      <c r="BK81" s="37">
        <v>35000000</v>
      </c>
      <c r="BL81" s="37">
        <v>70000000</v>
      </c>
      <c r="BM81" s="37">
        <v>70000000</v>
      </c>
      <c r="BN81" s="37">
        <v>70000000</v>
      </c>
      <c r="BO81" s="37">
        <v>70000000</v>
      </c>
      <c r="BP81" s="37">
        <v>70000000</v>
      </c>
      <c r="BQ81" s="37">
        <v>70000000</v>
      </c>
      <c r="BR81" s="37">
        <v>70000000</v>
      </c>
      <c r="BS81" s="37">
        <v>70000000</v>
      </c>
      <c r="BT81" s="37">
        <v>70000000</v>
      </c>
      <c r="BU81" s="37">
        <v>70000000</v>
      </c>
      <c r="BV81" s="37">
        <v>70000000</v>
      </c>
      <c r="BW81" s="99"/>
      <c r="BX81" s="36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36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99"/>
    </row>
    <row r="82" spans="1:103" s="40" customFormat="1" ht="136.5" customHeight="1" outlineLevel="1">
      <c r="A82" s="41"/>
      <c r="B82" s="107" t="s">
        <v>101</v>
      </c>
      <c r="C82" s="73" t="s">
        <v>104</v>
      </c>
      <c r="D82" s="75"/>
      <c r="E82" s="75" t="s">
        <v>104</v>
      </c>
      <c r="F82" s="36">
        <v>148022203</v>
      </c>
      <c r="G82" s="29">
        <v>584125</v>
      </c>
      <c r="H82" s="29">
        <v>16327528</v>
      </c>
      <c r="I82" s="29">
        <v>12743024</v>
      </c>
      <c r="J82" s="29">
        <v>8639254</v>
      </c>
      <c r="K82" s="29">
        <v>12535701</v>
      </c>
      <c r="L82" s="29">
        <v>30041829</v>
      </c>
      <c r="M82" s="29">
        <v>26801246</v>
      </c>
      <c r="N82" s="29">
        <v>15010604</v>
      </c>
      <c r="O82" s="29">
        <v>14785628</v>
      </c>
      <c r="P82" s="29">
        <v>6354499</v>
      </c>
      <c r="Q82" s="29">
        <v>742939</v>
      </c>
      <c r="R82" s="29">
        <v>3455826</v>
      </c>
      <c r="S82" s="29">
        <v>0</v>
      </c>
      <c r="T82" s="36">
        <v>329000000</v>
      </c>
      <c r="U82" s="92">
        <v>2000000</v>
      </c>
      <c r="V82" s="92">
        <v>192000000</v>
      </c>
      <c r="W82" s="92">
        <v>2000000</v>
      </c>
      <c r="X82" s="92">
        <v>2000000</v>
      </c>
      <c r="Y82" s="92">
        <v>2000000</v>
      </c>
      <c r="Z82" s="92">
        <v>47000000</v>
      </c>
      <c r="AA82" s="92">
        <v>2000000</v>
      </c>
      <c r="AB82" s="92">
        <v>2000000</v>
      </c>
      <c r="AC82" s="92">
        <v>2000000</v>
      </c>
      <c r="AD82" s="92">
        <v>72000000</v>
      </c>
      <c r="AE82" s="92">
        <v>2000000</v>
      </c>
      <c r="AF82" s="92">
        <v>2000000</v>
      </c>
      <c r="AG82" s="108" t="s">
        <v>105</v>
      </c>
      <c r="AH82" s="36">
        <v>155189116</v>
      </c>
      <c r="AI82" s="92">
        <v>37643750</v>
      </c>
      <c r="AJ82" s="92">
        <v>15633945</v>
      </c>
      <c r="AK82" s="92">
        <v>49201106</v>
      </c>
      <c r="AL82" s="92">
        <v>0</v>
      </c>
      <c r="AM82" s="92">
        <v>2197303</v>
      </c>
      <c r="AN82" s="92">
        <v>0</v>
      </c>
      <c r="AO82" s="92">
        <v>17600000</v>
      </c>
      <c r="AP82" s="92">
        <v>26663276</v>
      </c>
      <c r="AQ82" s="92">
        <v>234722</v>
      </c>
      <c r="AR82" s="92">
        <v>3759819</v>
      </c>
      <c r="AS82" s="92">
        <v>901024</v>
      </c>
      <c r="AT82" s="92">
        <v>1354171</v>
      </c>
      <c r="AU82" s="94"/>
      <c r="AV82" s="36">
        <v>269000000</v>
      </c>
      <c r="AW82" s="29">
        <v>2000000</v>
      </c>
      <c r="AX82" s="29">
        <v>2000000</v>
      </c>
      <c r="AY82" s="29">
        <v>2000000</v>
      </c>
      <c r="AZ82" s="29">
        <v>2000000</v>
      </c>
      <c r="BA82" s="29">
        <v>2000000</v>
      </c>
      <c r="BB82" s="29">
        <v>52000000</v>
      </c>
      <c r="BC82" s="29">
        <v>2000000</v>
      </c>
      <c r="BD82" s="29">
        <v>2000000</v>
      </c>
      <c r="BE82" s="29">
        <v>2000000</v>
      </c>
      <c r="BF82" s="29">
        <v>62000000</v>
      </c>
      <c r="BG82" s="29">
        <v>2000000</v>
      </c>
      <c r="BH82" s="29">
        <v>137000000</v>
      </c>
      <c r="BI82" s="29"/>
      <c r="BJ82" s="36">
        <v>269000000</v>
      </c>
      <c r="BK82" s="92">
        <v>2000000</v>
      </c>
      <c r="BL82" s="92">
        <v>2000000</v>
      </c>
      <c r="BM82" s="92">
        <v>2000000</v>
      </c>
      <c r="BN82" s="92">
        <v>2000000</v>
      </c>
      <c r="BO82" s="92">
        <v>2000000</v>
      </c>
      <c r="BP82" s="92">
        <v>52000000</v>
      </c>
      <c r="BQ82" s="92">
        <v>2000000</v>
      </c>
      <c r="BR82" s="92">
        <v>2000000</v>
      </c>
      <c r="BS82" s="92">
        <v>2000000</v>
      </c>
      <c r="BT82" s="92">
        <v>62000000</v>
      </c>
      <c r="BU82" s="92">
        <v>2000000</v>
      </c>
      <c r="BV82" s="92">
        <v>137000000</v>
      </c>
      <c r="BW82" s="108"/>
      <c r="BX82" s="36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36"/>
      <c r="CM82" s="92"/>
      <c r="CN82" s="92"/>
      <c r="CO82" s="92"/>
      <c r="CP82" s="92"/>
      <c r="CQ82" s="92"/>
      <c r="CR82" s="92"/>
      <c r="CS82" s="92"/>
      <c r="CT82" s="92"/>
      <c r="CU82" s="92"/>
      <c r="CV82" s="92"/>
      <c r="CW82" s="92"/>
      <c r="CX82" s="92"/>
      <c r="CY82" s="108"/>
    </row>
    <row r="83" spans="1:103" s="40" customFormat="1" ht="19.5" customHeight="1" outlineLevel="1">
      <c r="A83" s="41"/>
      <c r="B83" s="107" t="s">
        <v>101</v>
      </c>
      <c r="C83" s="109" t="s">
        <v>106</v>
      </c>
      <c r="D83" s="98"/>
      <c r="E83" s="110" t="s">
        <v>106</v>
      </c>
      <c r="F83" s="36">
        <v>139764740</v>
      </c>
      <c r="G83" s="29">
        <v>0</v>
      </c>
      <c r="H83" s="29">
        <v>20805600</v>
      </c>
      <c r="I83" s="29">
        <v>8799702</v>
      </c>
      <c r="J83" s="29">
        <v>8530000</v>
      </c>
      <c r="K83" s="29">
        <v>7842000</v>
      </c>
      <c r="L83" s="29">
        <v>10011550</v>
      </c>
      <c r="M83" s="29">
        <v>7963900</v>
      </c>
      <c r="N83" s="29">
        <v>0</v>
      </c>
      <c r="O83" s="29">
        <v>40623294</v>
      </c>
      <c r="P83" s="29">
        <v>11253274</v>
      </c>
      <c r="Q83" s="29">
        <v>12211500</v>
      </c>
      <c r="R83" s="29">
        <v>11723920</v>
      </c>
      <c r="S83" s="29">
        <v>0</v>
      </c>
      <c r="T83" s="36">
        <v>136000000</v>
      </c>
      <c r="U83" s="37">
        <v>0</v>
      </c>
      <c r="V83" s="37">
        <v>21000000</v>
      </c>
      <c r="W83" s="37">
        <v>5000000</v>
      </c>
      <c r="X83" s="37">
        <v>10000000</v>
      </c>
      <c r="Y83" s="37">
        <v>5000000</v>
      </c>
      <c r="Z83" s="37">
        <v>10000000</v>
      </c>
      <c r="AA83" s="37">
        <v>5000000</v>
      </c>
      <c r="AB83" s="37">
        <v>10000000</v>
      </c>
      <c r="AC83" s="37">
        <v>30000000</v>
      </c>
      <c r="AD83" s="37">
        <v>10000000</v>
      </c>
      <c r="AE83" s="37">
        <v>10000000</v>
      </c>
      <c r="AF83" s="37">
        <v>20000000</v>
      </c>
      <c r="AG83" s="99"/>
      <c r="AH83" s="36">
        <v>86205113</v>
      </c>
      <c r="AI83" s="37">
        <v>0</v>
      </c>
      <c r="AJ83" s="37">
        <v>0</v>
      </c>
      <c r="AK83" s="37">
        <v>6497500</v>
      </c>
      <c r="AL83" s="37">
        <v>0</v>
      </c>
      <c r="AM83" s="37">
        <v>0</v>
      </c>
      <c r="AN83" s="37">
        <v>10801756</v>
      </c>
      <c r="AO83" s="37">
        <v>13276745</v>
      </c>
      <c r="AP83" s="37">
        <v>9157358</v>
      </c>
      <c r="AQ83" s="37">
        <v>23958333</v>
      </c>
      <c r="AR83" s="37">
        <v>8708426</v>
      </c>
      <c r="AS83" s="37">
        <v>4692804</v>
      </c>
      <c r="AT83" s="37">
        <v>9112191</v>
      </c>
      <c r="AU83" s="39"/>
      <c r="AV83" s="36">
        <v>145000000</v>
      </c>
      <c r="AW83" s="29">
        <v>20000000</v>
      </c>
      <c r="AX83" s="29">
        <v>20000000</v>
      </c>
      <c r="AY83" s="29">
        <v>10000000</v>
      </c>
      <c r="AZ83" s="29">
        <v>10000000</v>
      </c>
      <c r="BA83" s="29">
        <v>10000000</v>
      </c>
      <c r="BB83" s="29">
        <v>10000000</v>
      </c>
      <c r="BC83" s="29">
        <v>5000000</v>
      </c>
      <c r="BD83" s="29">
        <v>5000000</v>
      </c>
      <c r="BE83" s="29">
        <v>30000000</v>
      </c>
      <c r="BF83" s="29">
        <v>10000000</v>
      </c>
      <c r="BG83" s="29">
        <v>5000000</v>
      </c>
      <c r="BH83" s="29">
        <v>10000000</v>
      </c>
      <c r="BI83" s="29"/>
      <c r="BJ83" s="36">
        <v>145000000</v>
      </c>
      <c r="BK83" s="37">
        <v>20000000</v>
      </c>
      <c r="BL83" s="37">
        <v>20000000</v>
      </c>
      <c r="BM83" s="37">
        <v>10000000</v>
      </c>
      <c r="BN83" s="37">
        <v>10000000</v>
      </c>
      <c r="BO83" s="37">
        <v>10000000</v>
      </c>
      <c r="BP83" s="37">
        <v>10000000</v>
      </c>
      <c r="BQ83" s="37">
        <v>5000000</v>
      </c>
      <c r="BR83" s="37">
        <v>5000000</v>
      </c>
      <c r="BS83" s="37">
        <v>30000000</v>
      </c>
      <c r="BT83" s="37">
        <v>10000000</v>
      </c>
      <c r="BU83" s="37">
        <v>5000000</v>
      </c>
      <c r="BV83" s="37">
        <v>10000000</v>
      </c>
      <c r="BW83" s="99"/>
      <c r="BX83" s="36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3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99"/>
    </row>
    <row r="84" spans="1:103" s="40" customFormat="1" ht="19.5" customHeight="1" outlineLevel="1">
      <c r="A84" s="41"/>
      <c r="B84" s="107" t="s">
        <v>101</v>
      </c>
      <c r="C84" s="101" t="s">
        <v>107</v>
      </c>
      <c r="D84" s="98"/>
      <c r="E84" s="102" t="s">
        <v>107</v>
      </c>
      <c r="F84" s="36">
        <v>3420102</v>
      </c>
      <c r="G84" s="29">
        <v>1851852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1568250</v>
      </c>
      <c r="P84" s="29">
        <v>0</v>
      </c>
      <c r="Q84" s="29">
        <v>0</v>
      </c>
      <c r="R84" s="29">
        <v>0</v>
      </c>
      <c r="S84" s="29">
        <v>0</v>
      </c>
      <c r="T84" s="36">
        <v>5851852</v>
      </c>
      <c r="U84" s="37">
        <v>1851852</v>
      </c>
      <c r="V84" s="37">
        <v>0</v>
      </c>
      <c r="W84" s="37">
        <v>0</v>
      </c>
      <c r="X84" s="37">
        <v>0</v>
      </c>
      <c r="Y84" s="37">
        <v>0</v>
      </c>
      <c r="Z84" s="37">
        <v>0</v>
      </c>
      <c r="AA84" s="37">
        <v>0</v>
      </c>
      <c r="AB84" s="37">
        <v>0</v>
      </c>
      <c r="AC84" s="37">
        <v>4000000</v>
      </c>
      <c r="AD84" s="37">
        <v>0</v>
      </c>
      <c r="AE84" s="37">
        <v>0</v>
      </c>
      <c r="AF84" s="37">
        <v>0</v>
      </c>
      <c r="AG84" s="99"/>
      <c r="AH84" s="36">
        <v>5192933</v>
      </c>
      <c r="AI84" s="37">
        <v>0</v>
      </c>
      <c r="AJ84" s="37">
        <v>0</v>
      </c>
      <c r="AK84" s="37">
        <v>1509600</v>
      </c>
      <c r="AL84" s="37">
        <v>0</v>
      </c>
      <c r="AM84" s="37">
        <v>0</v>
      </c>
      <c r="AN84" s="37">
        <v>0</v>
      </c>
      <c r="AO84" s="37">
        <v>0</v>
      </c>
      <c r="AP84" s="37">
        <v>3683333</v>
      </c>
      <c r="AQ84" s="37">
        <v>0</v>
      </c>
      <c r="AR84" s="37">
        <v>0</v>
      </c>
      <c r="AS84" s="37">
        <v>0</v>
      </c>
      <c r="AT84" s="37">
        <v>0</v>
      </c>
      <c r="AU84" s="39"/>
      <c r="AV84" s="36">
        <v>3000000</v>
      </c>
      <c r="AW84" s="29"/>
      <c r="AX84" s="29">
        <v>2000000</v>
      </c>
      <c r="AY84" s="29"/>
      <c r="AZ84" s="29"/>
      <c r="BA84" s="29"/>
      <c r="BB84" s="29"/>
      <c r="BC84" s="29"/>
      <c r="BD84" s="29"/>
      <c r="BE84" s="29">
        <v>1000000</v>
      </c>
      <c r="BF84" s="29"/>
      <c r="BG84" s="29"/>
      <c r="BH84" s="29"/>
      <c r="BI84" s="29"/>
      <c r="BJ84" s="36">
        <v>3000000</v>
      </c>
      <c r="BK84" s="37"/>
      <c r="BL84" s="37">
        <v>2000000</v>
      </c>
      <c r="BM84" s="37"/>
      <c r="BN84" s="37"/>
      <c r="BO84" s="37"/>
      <c r="BP84" s="37"/>
      <c r="BQ84" s="37"/>
      <c r="BR84" s="37"/>
      <c r="BS84" s="37">
        <v>1000000</v>
      </c>
      <c r="BT84" s="37"/>
      <c r="BU84" s="37"/>
      <c r="BV84" s="37"/>
      <c r="BW84" s="99"/>
      <c r="BX84" s="36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36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99"/>
    </row>
    <row r="85" spans="1:103" s="40" customFormat="1" ht="19.5" customHeight="1" outlineLevel="1">
      <c r="A85" s="41"/>
      <c r="B85" s="107" t="s">
        <v>101</v>
      </c>
      <c r="C85" s="109" t="s">
        <v>108</v>
      </c>
      <c r="D85" s="98"/>
      <c r="E85" s="110" t="s">
        <v>108</v>
      </c>
      <c r="F85" s="36">
        <v>90999026</v>
      </c>
      <c r="G85" s="29">
        <v>0</v>
      </c>
      <c r="H85" s="29">
        <v>0</v>
      </c>
      <c r="I85" s="29">
        <v>4280222</v>
      </c>
      <c r="J85" s="29">
        <v>2935000</v>
      </c>
      <c r="K85" s="29">
        <v>0</v>
      </c>
      <c r="L85" s="29">
        <v>931000</v>
      </c>
      <c r="M85" s="29">
        <v>648143</v>
      </c>
      <c r="N85" s="29">
        <v>23425300</v>
      </c>
      <c r="O85" s="29">
        <v>39269512</v>
      </c>
      <c r="P85" s="29">
        <v>12263216</v>
      </c>
      <c r="Q85" s="29">
        <v>2820000</v>
      </c>
      <c r="R85" s="29">
        <v>4426633</v>
      </c>
      <c r="S85" s="29">
        <v>0</v>
      </c>
      <c r="T85" s="36">
        <v>10000000</v>
      </c>
      <c r="U85" s="37">
        <v>2000000</v>
      </c>
      <c r="V85" s="37">
        <v>0</v>
      </c>
      <c r="W85" s="37">
        <v>2000000</v>
      </c>
      <c r="X85" s="37">
        <v>0</v>
      </c>
      <c r="Y85" s="37">
        <v>0</v>
      </c>
      <c r="Z85" s="37">
        <v>0</v>
      </c>
      <c r="AA85" s="37">
        <v>0</v>
      </c>
      <c r="AB85" s="37">
        <v>0</v>
      </c>
      <c r="AC85" s="37">
        <v>6000000</v>
      </c>
      <c r="AD85" s="37">
        <v>0</v>
      </c>
      <c r="AE85" s="37">
        <v>0</v>
      </c>
      <c r="AF85" s="37">
        <v>0</v>
      </c>
      <c r="AG85" s="99"/>
      <c r="AH85" s="36">
        <v>8822198</v>
      </c>
      <c r="AI85" s="37">
        <v>0</v>
      </c>
      <c r="AJ85" s="37">
        <v>0</v>
      </c>
      <c r="AK85" s="37">
        <v>1370624</v>
      </c>
      <c r="AL85" s="37">
        <v>0</v>
      </c>
      <c r="AM85" s="37">
        <v>0</v>
      </c>
      <c r="AN85" s="37">
        <v>0</v>
      </c>
      <c r="AO85" s="37">
        <v>0</v>
      </c>
      <c r="AP85" s="37">
        <v>0</v>
      </c>
      <c r="AQ85" s="37">
        <v>7451574</v>
      </c>
      <c r="AR85" s="37">
        <v>0</v>
      </c>
      <c r="AS85" s="37">
        <v>0</v>
      </c>
      <c r="AT85" s="37">
        <v>0</v>
      </c>
      <c r="AU85" s="39"/>
      <c r="AV85" s="36">
        <v>18000000</v>
      </c>
      <c r="AW85" s="29"/>
      <c r="AX85" s="29">
        <v>9000000</v>
      </c>
      <c r="AY85" s="29"/>
      <c r="AZ85" s="29"/>
      <c r="BA85" s="29"/>
      <c r="BB85" s="29"/>
      <c r="BC85" s="29"/>
      <c r="BD85" s="29"/>
      <c r="BE85" s="29">
        <v>9000000</v>
      </c>
      <c r="BF85" s="29"/>
      <c r="BG85" s="29"/>
      <c r="BH85" s="29"/>
      <c r="BI85" s="29"/>
      <c r="BJ85" s="36">
        <v>18000000</v>
      </c>
      <c r="BK85" s="37"/>
      <c r="BL85" s="37">
        <v>9000000</v>
      </c>
      <c r="BM85" s="37"/>
      <c r="BN85" s="37"/>
      <c r="BO85" s="37"/>
      <c r="BP85" s="37"/>
      <c r="BQ85" s="37"/>
      <c r="BR85" s="37"/>
      <c r="BS85" s="37">
        <v>9000000</v>
      </c>
      <c r="BT85" s="37"/>
      <c r="BU85" s="37"/>
      <c r="BV85" s="37"/>
      <c r="BW85" s="99"/>
      <c r="BX85" s="36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36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99"/>
    </row>
    <row r="86" spans="1:103" s="32" customFormat="1" ht="19.5" customHeight="1">
      <c r="A86" s="41"/>
      <c r="B86" s="107" t="s">
        <v>110</v>
      </c>
      <c r="C86" s="111"/>
      <c r="D86" s="96"/>
      <c r="E86" s="96"/>
      <c r="F86" s="28">
        <v>152000168</v>
      </c>
      <c r="G86" s="28">
        <v>15952892</v>
      </c>
      <c r="H86" s="28">
        <v>11280207</v>
      </c>
      <c r="I86" s="28">
        <v>13846887</v>
      </c>
      <c r="J86" s="28">
        <v>10746750</v>
      </c>
      <c r="K86" s="28">
        <v>11407478</v>
      </c>
      <c r="L86" s="28">
        <v>12970720</v>
      </c>
      <c r="M86" s="28">
        <v>12088873</v>
      </c>
      <c r="N86" s="28">
        <v>12033204</v>
      </c>
      <c r="O86" s="28">
        <v>11050321</v>
      </c>
      <c r="P86" s="28">
        <v>14637542</v>
      </c>
      <c r="Q86" s="28">
        <v>12941666</v>
      </c>
      <c r="R86" s="28">
        <v>13043628</v>
      </c>
      <c r="S86" s="28">
        <v>0</v>
      </c>
      <c r="T86" s="28">
        <v>177777777.7777777</v>
      </c>
      <c r="U86" s="28">
        <v>14814814.814814813</v>
      </c>
      <c r="V86" s="28">
        <v>14814814.814814813</v>
      </c>
      <c r="W86" s="28">
        <v>14814814.814814813</v>
      </c>
      <c r="X86" s="28">
        <v>14814814.814814813</v>
      </c>
      <c r="Y86" s="28">
        <v>14814814.814814813</v>
      </c>
      <c r="Z86" s="28">
        <v>14814814.814814813</v>
      </c>
      <c r="AA86" s="28">
        <v>14814814.814814813</v>
      </c>
      <c r="AB86" s="28">
        <v>14814814.814814813</v>
      </c>
      <c r="AC86" s="28">
        <v>14814814.814814813</v>
      </c>
      <c r="AD86" s="28">
        <v>14814814.814814813</v>
      </c>
      <c r="AE86" s="28">
        <v>14814814.814814813</v>
      </c>
      <c r="AF86" s="28">
        <v>14814814.814814813</v>
      </c>
      <c r="AG86" s="97"/>
      <c r="AH86" s="28">
        <v>149499922</v>
      </c>
      <c r="AI86" s="28">
        <v>15293914</v>
      </c>
      <c r="AJ86" s="28">
        <v>8518041</v>
      </c>
      <c r="AK86" s="28">
        <v>13897822</v>
      </c>
      <c r="AL86" s="28">
        <v>11195105</v>
      </c>
      <c r="AM86" s="28">
        <v>10714217</v>
      </c>
      <c r="AN86" s="28">
        <v>12188107</v>
      </c>
      <c r="AO86" s="28">
        <v>11233625</v>
      </c>
      <c r="AP86" s="28">
        <v>12005073</v>
      </c>
      <c r="AQ86" s="28">
        <v>12556971</v>
      </c>
      <c r="AR86" s="28">
        <v>11528610</v>
      </c>
      <c r="AS86" s="28">
        <v>15480158</v>
      </c>
      <c r="AT86" s="28">
        <v>14888279</v>
      </c>
      <c r="AU86" s="31"/>
      <c r="AV86" s="28">
        <v>168000000</v>
      </c>
      <c r="AW86" s="28">
        <v>14000000</v>
      </c>
      <c r="AX86" s="28">
        <v>14000000</v>
      </c>
      <c r="AY86" s="28">
        <v>14000000</v>
      </c>
      <c r="AZ86" s="28">
        <v>14000000</v>
      </c>
      <c r="BA86" s="28">
        <v>14000000</v>
      </c>
      <c r="BB86" s="28">
        <v>14000000</v>
      </c>
      <c r="BC86" s="28">
        <v>14000000</v>
      </c>
      <c r="BD86" s="28">
        <v>14000000</v>
      </c>
      <c r="BE86" s="28">
        <v>14000000</v>
      </c>
      <c r="BF86" s="28">
        <v>14000000</v>
      </c>
      <c r="BG86" s="28">
        <v>14000000</v>
      </c>
      <c r="BH86" s="28">
        <v>14000000</v>
      </c>
      <c r="BI86" s="28"/>
      <c r="BJ86" s="28">
        <v>168000000</v>
      </c>
      <c r="BK86" s="28">
        <v>14000000</v>
      </c>
      <c r="BL86" s="28">
        <v>14000000</v>
      </c>
      <c r="BM86" s="28">
        <v>14000000</v>
      </c>
      <c r="BN86" s="28">
        <v>14000000</v>
      </c>
      <c r="BO86" s="28">
        <v>14000000</v>
      </c>
      <c r="BP86" s="28">
        <v>14000000</v>
      </c>
      <c r="BQ86" s="28">
        <v>14000000</v>
      </c>
      <c r="BR86" s="28">
        <v>14000000</v>
      </c>
      <c r="BS86" s="28">
        <v>14000000</v>
      </c>
      <c r="BT86" s="28">
        <v>14000000</v>
      </c>
      <c r="BU86" s="28">
        <v>14000000</v>
      </c>
      <c r="BV86" s="28">
        <v>14000000</v>
      </c>
      <c r="BW86" s="97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97"/>
    </row>
    <row r="87" spans="1:103" s="40" customFormat="1" ht="19.5" customHeight="1" outlineLevel="1">
      <c r="A87" s="41"/>
      <c r="B87" s="107" t="s">
        <v>110</v>
      </c>
      <c r="C87" s="109" t="s">
        <v>111</v>
      </c>
      <c r="D87" s="98"/>
      <c r="E87" s="110" t="s">
        <v>111</v>
      </c>
      <c r="F87" s="36">
        <v>88808063</v>
      </c>
      <c r="G87" s="29">
        <v>7395225</v>
      </c>
      <c r="H87" s="29">
        <v>6794444</v>
      </c>
      <c r="I87" s="29">
        <v>7789714</v>
      </c>
      <c r="J87" s="29">
        <v>7817632</v>
      </c>
      <c r="K87" s="29">
        <v>7650029</v>
      </c>
      <c r="L87" s="29">
        <v>7557942</v>
      </c>
      <c r="M87" s="29">
        <v>7648410</v>
      </c>
      <c r="N87" s="29">
        <v>7436945</v>
      </c>
      <c r="O87" s="29">
        <v>6846431</v>
      </c>
      <c r="P87" s="29">
        <v>7286979</v>
      </c>
      <c r="Q87" s="29">
        <v>6948777</v>
      </c>
      <c r="R87" s="29">
        <v>7635535</v>
      </c>
      <c r="S87" s="29">
        <v>0</v>
      </c>
      <c r="T87" s="36">
        <v>88888888.888888851</v>
      </c>
      <c r="U87" s="37">
        <v>7407407.4074074067</v>
      </c>
      <c r="V87" s="37">
        <v>7407407.4074074067</v>
      </c>
      <c r="W87" s="37">
        <v>7407407.4074074067</v>
      </c>
      <c r="X87" s="37">
        <v>7407407.4074074067</v>
      </c>
      <c r="Y87" s="37">
        <v>7407407.4074074067</v>
      </c>
      <c r="Z87" s="37">
        <v>7407407.4074074067</v>
      </c>
      <c r="AA87" s="37">
        <v>7407407.4074074067</v>
      </c>
      <c r="AB87" s="37">
        <v>7407407.4074074067</v>
      </c>
      <c r="AC87" s="37">
        <v>7407407.4074074067</v>
      </c>
      <c r="AD87" s="37">
        <v>7407407.4074074067</v>
      </c>
      <c r="AE87" s="37">
        <v>7407407.4074074067</v>
      </c>
      <c r="AF87" s="37">
        <v>7407407.4074074067</v>
      </c>
      <c r="AG87" s="99"/>
      <c r="AH87" s="36">
        <v>90996567</v>
      </c>
      <c r="AI87" s="37">
        <v>7450426</v>
      </c>
      <c r="AJ87" s="37">
        <v>7137597</v>
      </c>
      <c r="AK87" s="37">
        <v>8046079</v>
      </c>
      <c r="AL87" s="37">
        <v>7665347</v>
      </c>
      <c r="AM87" s="37">
        <v>7734628</v>
      </c>
      <c r="AN87" s="37">
        <v>7633784</v>
      </c>
      <c r="AO87" s="37">
        <v>8031033</v>
      </c>
      <c r="AP87" s="37">
        <v>7507179</v>
      </c>
      <c r="AQ87" s="37">
        <v>7392016</v>
      </c>
      <c r="AR87" s="37">
        <v>7465610</v>
      </c>
      <c r="AS87" s="37">
        <v>7423508</v>
      </c>
      <c r="AT87" s="37">
        <v>7509360</v>
      </c>
      <c r="AU87" s="39"/>
      <c r="AV87" s="36">
        <v>96000000</v>
      </c>
      <c r="AW87" s="29">
        <v>8000000</v>
      </c>
      <c r="AX87" s="29">
        <v>8000000</v>
      </c>
      <c r="AY87" s="29">
        <v>8000000</v>
      </c>
      <c r="AZ87" s="29">
        <v>8000000</v>
      </c>
      <c r="BA87" s="29">
        <v>8000000</v>
      </c>
      <c r="BB87" s="29">
        <v>8000000</v>
      </c>
      <c r="BC87" s="29">
        <v>8000000</v>
      </c>
      <c r="BD87" s="29">
        <v>8000000</v>
      </c>
      <c r="BE87" s="29">
        <v>8000000</v>
      </c>
      <c r="BF87" s="29">
        <v>8000000</v>
      </c>
      <c r="BG87" s="29">
        <v>8000000</v>
      </c>
      <c r="BH87" s="29">
        <v>8000000</v>
      </c>
      <c r="BI87" s="29"/>
      <c r="BJ87" s="36">
        <v>96000000</v>
      </c>
      <c r="BK87" s="37">
        <v>8000000</v>
      </c>
      <c r="BL87" s="37">
        <v>8000000</v>
      </c>
      <c r="BM87" s="37">
        <v>8000000</v>
      </c>
      <c r="BN87" s="37">
        <v>8000000</v>
      </c>
      <c r="BO87" s="37">
        <v>8000000</v>
      </c>
      <c r="BP87" s="37">
        <v>8000000</v>
      </c>
      <c r="BQ87" s="37">
        <v>8000000</v>
      </c>
      <c r="BR87" s="37">
        <v>8000000</v>
      </c>
      <c r="BS87" s="37">
        <v>8000000</v>
      </c>
      <c r="BT87" s="37">
        <v>8000000</v>
      </c>
      <c r="BU87" s="37">
        <v>8000000</v>
      </c>
      <c r="BV87" s="37">
        <v>8000000</v>
      </c>
      <c r="BW87" s="99"/>
      <c r="BX87" s="36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36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99"/>
    </row>
    <row r="88" spans="1:103" s="40" customFormat="1" ht="19.5" customHeight="1" outlineLevel="1">
      <c r="A88" s="41"/>
      <c r="B88" s="107" t="s">
        <v>110</v>
      </c>
      <c r="C88" s="73" t="s">
        <v>112</v>
      </c>
      <c r="D88" s="98"/>
      <c r="E88" s="75" t="s">
        <v>112</v>
      </c>
      <c r="F88" s="36">
        <v>63192105</v>
      </c>
      <c r="G88" s="29">
        <v>8557667</v>
      </c>
      <c r="H88" s="29">
        <v>4485763</v>
      </c>
      <c r="I88" s="29">
        <v>6057173</v>
      </c>
      <c r="J88" s="29">
        <v>2929118</v>
      </c>
      <c r="K88" s="29">
        <v>3757449</v>
      </c>
      <c r="L88" s="29">
        <v>5412778</v>
      </c>
      <c r="M88" s="29">
        <v>4440463</v>
      </c>
      <c r="N88" s="29">
        <v>4596259</v>
      </c>
      <c r="O88" s="29">
        <v>4203890</v>
      </c>
      <c r="P88" s="29">
        <v>7350563</v>
      </c>
      <c r="Q88" s="29">
        <v>5992889</v>
      </c>
      <c r="R88" s="29">
        <v>5408093</v>
      </c>
      <c r="S88" s="29">
        <v>0</v>
      </c>
      <c r="T88" s="36">
        <v>88888888.888888851</v>
      </c>
      <c r="U88" s="37">
        <v>7407407.4074074067</v>
      </c>
      <c r="V88" s="37">
        <v>7407407.4074074067</v>
      </c>
      <c r="W88" s="37">
        <v>7407407.4074074067</v>
      </c>
      <c r="X88" s="37">
        <v>7407407.4074074067</v>
      </c>
      <c r="Y88" s="37">
        <v>7407407.4074074067</v>
      </c>
      <c r="Z88" s="37">
        <v>7407407.4074074067</v>
      </c>
      <c r="AA88" s="37">
        <v>7407407.4074074067</v>
      </c>
      <c r="AB88" s="37">
        <v>7407407.4074074067</v>
      </c>
      <c r="AC88" s="37">
        <v>7407407.4074074067</v>
      </c>
      <c r="AD88" s="37">
        <v>7407407.4074074067</v>
      </c>
      <c r="AE88" s="37">
        <v>7407407.4074074067</v>
      </c>
      <c r="AF88" s="37">
        <v>7407407.4074074067</v>
      </c>
      <c r="AG88" s="99"/>
      <c r="AH88" s="36">
        <v>58503355</v>
      </c>
      <c r="AI88" s="37">
        <v>7843488</v>
      </c>
      <c r="AJ88" s="37">
        <v>1380444</v>
      </c>
      <c r="AK88" s="37">
        <v>5851743</v>
      </c>
      <c r="AL88" s="37">
        <v>3529758</v>
      </c>
      <c r="AM88" s="37">
        <v>2979589</v>
      </c>
      <c r="AN88" s="37">
        <v>4554323</v>
      </c>
      <c r="AO88" s="37">
        <v>3202592</v>
      </c>
      <c r="AP88" s="37">
        <v>4497894</v>
      </c>
      <c r="AQ88" s="37">
        <v>5164955</v>
      </c>
      <c r="AR88" s="37">
        <v>4063000</v>
      </c>
      <c r="AS88" s="37">
        <v>8056650</v>
      </c>
      <c r="AT88" s="37">
        <v>7378919</v>
      </c>
      <c r="AU88" s="39"/>
      <c r="AV88" s="36">
        <v>72000000</v>
      </c>
      <c r="AW88" s="29">
        <v>6000000</v>
      </c>
      <c r="AX88" s="29">
        <v>6000000</v>
      </c>
      <c r="AY88" s="29">
        <v>6000000</v>
      </c>
      <c r="AZ88" s="29">
        <v>6000000</v>
      </c>
      <c r="BA88" s="29">
        <v>6000000</v>
      </c>
      <c r="BB88" s="29">
        <v>6000000</v>
      </c>
      <c r="BC88" s="29">
        <v>6000000</v>
      </c>
      <c r="BD88" s="29">
        <v>6000000</v>
      </c>
      <c r="BE88" s="29">
        <v>6000000</v>
      </c>
      <c r="BF88" s="29">
        <v>6000000</v>
      </c>
      <c r="BG88" s="29">
        <v>6000000</v>
      </c>
      <c r="BH88" s="29">
        <v>6000000</v>
      </c>
      <c r="BI88" s="29"/>
      <c r="BJ88" s="36">
        <v>72000000</v>
      </c>
      <c r="BK88" s="37">
        <v>6000000</v>
      </c>
      <c r="BL88" s="37">
        <v>6000000</v>
      </c>
      <c r="BM88" s="37">
        <v>6000000</v>
      </c>
      <c r="BN88" s="37">
        <v>6000000</v>
      </c>
      <c r="BO88" s="37">
        <v>6000000</v>
      </c>
      <c r="BP88" s="37">
        <v>6000000</v>
      </c>
      <c r="BQ88" s="37">
        <v>6000000</v>
      </c>
      <c r="BR88" s="37">
        <v>6000000</v>
      </c>
      <c r="BS88" s="37">
        <v>6000000</v>
      </c>
      <c r="BT88" s="37">
        <v>6000000</v>
      </c>
      <c r="BU88" s="37">
        <v>6000000</v>
      </c>
      <c r="BV88" s="37">
        <v>6000000</v>
      </c>
      <c r="BW88" s="99"/>
      <c r="BX88" s="36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36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99"/>
    </row>
    <row r="89" spans="1:103" s="32" customFormat="1" ht="19.5" customHeight="1">
      <c r="A89" s="41">
        <v>39</v>
      </c>
      <c r="B89" s="107" t="s">
        <v>476</v>
      </c>
      <c r="C89" s="95"/>
      <c r="D89" s="96"/>
      <c r="E89" s="96"/>
      <c r="F89" s="28">
        <v>140221485</v>
      </c>
      <c r="G89" s="28">
        <v>0</v>
      </c>
      <c r="H89" s="28">
        <v>40000000</v>
      </c>
      <c r="I89" s="28">
        <v>0</v>
      </c>
      <c r="J89" s="28">
        <v>13200000</v>
      </c>
      <c r="K89" s="28">
        <v>10500000</v>
      </c>
      <c r="L89" s="28">
        <v>66551312</v>
      </c>
      <c r="M89" s="28">
        <v>9970173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143500000</v>
      </c>
      <c r="U89" s="28">
        <v>0</v>
      </c>
      <c r="V89" s="28">
        <v>40000000</v>
      </c>
      <c r="W89" s="28">
        <v>0</v>
      </c>
      <c r="X89" s="28">
        <v>0</v>
      </c>
      <c r="Y89" s="28">
        <v>103500000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0</v>
      </c>
      <c r="AF89" s="28">
        <v>0</v>
      </c>
      <c r="AG89" s="97"/>
      <c r="AH89" s="28">
        <v>99040224</v>
      </c>
      <c r="AI89" s="28">
        <v>0</v>
      </c>
      <c r="AJ89" s="28">
        <v>0</v>
      </c>
      <c r="AK89" s="28">
        <v>40000000</v>
      </c>
      <c r="AL89" s="28">
        <v>10500000</v>
      </c>
      <c r="AM89" s="28">
        <v>37481891</v>
      </c>
      <c r="AN89" s="28">
        <v>11058333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0</v>
      </c>
      <c r="AU89" s="31"/>
      <c r="AV89" s="28">
        <v>175900000</v>
      </c>
      <c r="AW89" s="28">
        <v>40000000</v>
      </c>
      <c r="AX89" s="28">
        <v>0</v>
      </c>
      <c r="AY89" s="28">
        <v>0</v>
      </c>
      <c r="AZ89" s="28">
        <v>18000000</v>
      </c>
      <c r="BA89" s="28">
        <v>115500000</v>
      </c>
      <c r="BB89" s="28">
        <v>2400000</v>
      </c>
      <c r="BC89" s="28">
        <v>0</v>
      </c>
      <c r="BD89" s="28">
        <v>0</v>
      </c>
      <c r="BE89" s="28">
        <v>0</v>
      </c>
      <c r="BF89" s="28">
        <v>0</v>
      </c>
      <c r="BG89" s="28">
        <v>0</v>
      </c>
      <c r="BH89" s="28">
        <v>0</v>
      </c>
      <c r="BI89" s="28"/>
      <c r="BJ89" s="28">
        <v>175900000</v>
      </c>
      <c r="BK89" s="28">
        <v>40000000</v>
      </c>
      <c r="BL89" s="28">
        <v>0</v>
      </c>
      <c r="BM89" s="28">
        <v>0</v>
      </c>
      <c r="BN89" s="28">
        <v>18000000</v>
      </c>
      <c r="BO89" s="28">
        <v>115500000</v>
      </c>
      <c r="BP89" s="28">
        <v>2400000</v>
      </c>
      <c r="BQ89" s="28">
        <v>0</v>
      </c>
      <c r="BR89" s="28">
        <v>0</v>
      </c>
      <c r="BS89" s="28">
        <v>0</v>
      </c>
      <c r="BT89" s="28">
        <v>0</v>
      </c>
      <c r="BU89" s="28">
        <v>0</v>
      </c>
      <c r="BV89" s="28">
        <v>0</v>
      </c>
      <c r="BW89" s="97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97"/>
    </row>
    <row r="90" spans="1:103" s="40" customFormat="1" ht="19.5" customHeight="1" outlineLevel="1">
      <c r="A90" s="41"/>
      <c r="B90" s="107" t="s">
        <v>476</v>
      </c>
      <c r="C90" s="112" t="s">
        <v>114</v>
      </c>
      <c r="D90" s="113"/>
      <c r="E90" s="114" t="s">
        <v>114</v>
      </c>
      <c r="F90" s="36">
        <v>40000000</v>
      </c>
      <c r="G90" s="29">
        <v>0</v>
      </c>
      <c r="H90" s="29">
        <v>40000000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36">
        <v>40000000</v>
      </c>
      <c r="U90" s="92">
        <v>0</v>
      </c>
      <c r="V90" s="92">
        <v>40000000</v>
      </c>
      <c r="W90" s="92">
        <v>0</v>
      </c>
      <c r="X90" s="92">
        <v>0</v>
      </c>
      <c r="Y90" s="92">
        <v>0</v>
      </c>
      <c r="Z90" s="92">
        <v>0</v>
      </c>
      <c r="AA90" s="92">
        <v>0</v>
      </c>
      <c r="AB90" s="92">
        <v>0</v>
      </c>
      <c r="AC90" s="92">
        <v>0</v>
      </c>
      <c r="AD90" s="92">
        <v>0</v>
      </c>
      <c r="AE90" s="92">
        <v>0</v>
      </c>
      <c r="AF90" s="92">
        <v>0</v>
      </c>
      <c r="AG90" s="93"/>
      <c r="AH90" s="36">
        <v>40000000</v>
      </c>
      <c r="AI90" s="92">
        <v>0</v>
      </c>
      <c r="AJ90" s="92">
        <v>0</v>
      </c>
      <c r="AK90" s="92">
        <v>40000000</v>
      </c>
      <c r="AL90" s="92">
        <v>0</v>
      </c>
      <c r="AM90" s="92">
        <v>0</v>
      </c>
      <c r="AN90" s="92">
        <v>0</v>
      </c>
      <c r="AO90" s="92">
        <v>0</v>
      </c>
      <c r="AP90" s="92">
        <v>0</v>
      </c>
      <c r="AQ90" s="92">
        <v>0</v>
      </c>
      <c r="AR90" s="92">
        <v>0</v>
      </c>
      <c r="AS90" s="92">
        <v>0</v>
      </c>
      <c r="AT90" s="92">
        <v>0</v>
      </c>
      <c r="AU90" s="94"/>
      <c r="AV90" s="36">
        <v>40000000</v>
      </c>
      <c r="AW90" s="29">
        <v>40000000</v>
      </c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36">
        <v>40000000</v>
      </c>
      <c r="BK90" s="92">
        <v>40000000</v>
      </c>
      <c r="BL90" s="92"/>
      <c r="BM90" s="92"/>
      <c r="BN90" s="92"/>
      <c r="BO90" s="92"/>
      <c r="BP90" s="92"/>
      <c r="BQ90" s="92"/>
      <c r="BR90" s="92"/>
      <c r="BS90" s="92"/>
      <c r="BT90" s="92"/>
      <c r="BU90" s="92"/>
      <c r="BV90" s="92"/>
      <c r="BW90" s="93"/>
      <c r="BX90" s="36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36"/>
      <c r="CM90" s="92"/>
      <c r="CN90" s="92"/>
      <c r="CO90" s="92"/>
      <c r="CP90" s="92"/>
      <c r="CQ90" s="92"/>
      <c r="CR90" s="92"/>
      <c r="CS90" s="92"/>
      <c r="CT90" s="92"/>
      <c r="CU90" s="92"/>
      <c r="CV90" s="92"/>
      <c r="CW90" s="92"/>
      <c r="CX90" s="92"/>
      <c r="CY90" s="93"/>
    </row>
    <row r="91" spans="1:103" s="40" customFormat="1" ht="19.5" customHeight="1" outlineLevel="1">
      <c r="A91" s="41"/>
      <c r="B91" s="107" t="s">
        <v>476</v>
      </c>
      <c r="C91" s="112" t="s">
        <v>114</v>
      </c>
      <c r="D91" s="113"/>
      <c r="E91" s="243" t="s">
        <v>474</v>
      </c>
      <c r="F91" s="244">
        <v>13570000</v>
      </c>
      <c r="G91" s="29">
        <v>0</v>
      </c>
      <c r="H91" s="29">
        <v>0</v>
      </c>
      <c r="I91" s="29">
        <v>0</v>
      </c>
      <c r="J91" s="29">
        <v>13200000</v>
      </c>
      <c r="K91" s="29">
        <v>0</v>
      </c>
      <c r="L91" s="29">
        <v>370000</v>
      </c>
      <c r="M91" s="29">
        <v>0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/>
      <c r="T91" s="36">
        <v>0</v>
      </c>
      <c r="U91" s="92">
        <v>0</v>
      </c>
      <c r="V91" s="92">
        <v>0</v>
      </c>
      <c r="W91" s="92">
        <v>0</v>
      </c>
      <c r="X91" s="92">
        <v>0</v>
      </c>
      <c r="Y91" s="92"/>
      <c r="Z91" s="92">
        <v>0</v>
      </c>
      <c r="AA91" s="92">
        <v>0</v>
      </c>
      <c r="AB91" s="92">
        <v>0</v>
      </c>
      <c r="AC91" s="92">
        <v>0</v>
      </c>
      <c r="AD91" s="92">
        <v>0</v>
      </c>
      <c r="AE91" s="92">
        <v>0</v>
      </c>
      <c r="AF91" s="92">
        <v>0</v>
      </c>
      <c r="AG91" s="93"/>
      <c r="AH91" s="36">
        <v>0</v>
      </c>
      <c r="AI91" s="92">
        <v>0</v>
      </c>
      <c r="AJ91" s="92">
        <v>0</v>
      </c>
      <c r="AK91" s="92">
        <v>0</v>
      </c>
      <c r="AL91" s="92">
        <v>0</v>
      </c>
      <c r="AM91" s="92">
        <v>0</v>
      </c>
      <c r="AN91" s="92">
        <v>0</v>
      </c>
      <c r="AO91" s="92">
        <v>0</v>
      </c>
      <c r="AP91" s="92">
        <v>0</v>
      </c>
      <c r="AQ91" s="92">
        <v>0</v>
      </c>
      <c r="AR91" s="92">
        <v>0</v>
      </c>
      <c r="AS91" s="92">
        <v>0</v>
      </c>
      <c r="AT91" s="92">
        <v>0</v>
      </c>
      <c r="AU91" s="94"/>
      <c r="AV91" s="36">
        <v>18000000</v>
      </c>
      <c r="AW91" s="29"/>
      <c r="AX91" s="29"/>
      <c r="AY91" s="29"/>
      <c r="AZ91" s="29">
        <v>18000000</v>
      </c>
      <c r="BA91" s="29"/>
      <c r="BB91" s="29"/>
      <c r="BC91" s="29"/>
      <c r="BD91" s="29"/>
      <c r="BE91" s="29"/>
      <c r="BF91" s="29"/>
      <c r="BG91" s="29"/>
      <c r="BH91" s="29"/>
      <c r="BI91" s="29"/>
      <c r="BJ91" s="36">
        <v>18000000</v>
      </c>
      <c r="BK91" s="92"/>
      <c r="BL91" s="92"/>
      <c r="BM91" s="92"/>
      <c r="BN91" s="92">
        <v>18000000</v>
      </c>
      <c r="BO91" s="92"/>
      <c r="BP91" s="92"/>
      <c r="BQ91" s="92"/>
      <c r="BR91" s="92"/>
      <c r="BS91" s="92"/>
      <c r="BT91" s="92"/>
      <c r="BU91" s="92"/>
      <c r="BV91" s="92"/>
      <c r="BW91" s="93"/>
      <c r="BX91" s="36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36"/>
      <c r="CM91" s="92"/>
      <c r="CN91" s="92"/>
      <c r="CO91" s="92"/>
      <c r="CP91" s="92"/>
      <c r="CQ91" s="92"/>
      <c r="CR91" s="92"/>
      <c r="CS91" s="92"/>
      <c r="CT91" s="92"/>
      <c r="CU91" s="92"/>
      <c r="CV91" s="92"/>
      <c r="CW91" s="92"/>
      <c r="CX91" s="92"/>
      <c r="CY91" s="93"/>
    </row>
    <row r="92" spans="1:103" s="40" customFormat="1" ht="19.5" customHeight="1" outlineLevel="1">
      <c r="A92" s="41" t="s">
        <v>473</v>
      </c>
      <c r="B92" s="107" t="s">
        <v>476</v>
      </c>
      <c r="C92" s="112" t="s">
        <v>115</v>
      </c>
      <c r="D92" s="75"/>
      <c r="E92" s="114" t="s">
        <v>115</v>
      </c>
      <c r="F92" s="36">
        <v>72013528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62043355</v>
      </c>
      <c r="M92" s="29">
        <v>9970173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36">
        <v>60000000</v>
      </c>
      <c r="U92" s="92">
        <v>0</v>
      </c>
      <c r="V92" s="92">
        <v>0</v>
      </c>
      <c r="W92" s="92">
        <v>0</v>
      </c>
      <c r="X92" s="92">
        <v>0</v>
      </c>
      <c r="Y92" s="92">
        <v>60000000</v>
      </c>
      <c r="Z92" s="92">
        <v>0</v>
      </c>
      <c r="AA92" s="92">
        <v>0</v>
      </c>
      <c r="AB92" s="92">
        <v>0</v>
      </c>
      <c r="AC92" s="92">
        <v>0</v>
      </c>
      <c r="AD92" s="92">
        <v>0</v>
      </c>
      <c r="AE92" s="92">
        <v>0</v>
      </c>
      <c r="AF92" s="92">
        <v>0</v>
      </c>
      <c r="AG92" s="93"/>
      <c r="AH92" s="36">
        <v>45840224</v>
      </c>
      <c r="AI92" s="92">
        <v>0</v>
      </c>
      <c r="AJ92" s="92">
        <v>0</v>
      </c>
      <c r="AK92" s="92">
        <v>0</v>
      </c>
      <c r="AL92" s="92">
        <v>0</v>
      </c>
      <c r="AM92" s="92">
        <v>34781891</v>
      </c>
      <c r="AN92" s="92">
        <v>11058333</v>
      </c>
      <c r="AO92" s="92">
        <v>0</v>
      </c>
      <c r="AP92" s="92">
        <v>0</v>
      </c>
      <c r="AQ92" s="92">
        <v>0</v>
      </c>
      <c r="AR92" s="92">
        <v>0</v>
      </c>
      <c r="AS92" s="92">
        <v>0</v>
      </c>
      <c r="AT92" s="92">
        <v>0</v>
      </c>
      <c r="AU92" s="94"/>
      <c r="AV92" s="36">
        <v>80000000</v>
      </c>
      <c r="AW92" s="29"/>
      <c r="AX92" s="29"/>
      <c r="AY92" s="29"/>
      <c r="AZ92" s="29"/>
      <c r="BA92" s="29">
        <v>80000000</v>
      </c>
      <c r="BB92" s="29"/>
      <c r="BC92" s="29"/>
      <c r="BD92" s="29"/>
      <c r="BE92" s="29"/>
      <c r="BF92" s="29"/>
      <c r="BG92" s="29"/>
      <c r="BH92" s="29"/>
      <c r="BI92" s="29"/>
      <c r="BJ92" s="36">
        <v>80000000</v>
      </c>
      <c r="BK92" s="92"/>
      <c r="BL92" s="92"/>
      <c r="BM92" s="92"/>
      <c r="BN92" s="92"/>
      <c r="BO92" s="92">
        <v>80000000</v>
      </c>
      <c r="BP92" s="92"/>
      <c r="BQ92" s="92"/>
      <c r="BR92" s="92"/>
      <c r="BS92" s="92"/>
      <c r="BT92" s="92"/>
      <c r="BU92" s="92"/>
      <c r="BV92" s="92"/>
      <c r="BW92" s="93"/>
      <c r="BX92" s="36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36"/>
      <c r="CM92" s="92"/>
      <c r="CN92" s="92"/>
      <c r="CO92" s="92"/>
      <c r="CP92" s="92"/>
      <c r="CQ92" s="92"/>
      <c r="CR92" s="92"/>
      <c r="CS92" s="92"/>
      <c r="CT92" s="92"/>
      <c r="CU92" s="92"/>
      <c r="CV92" s="92"/>
      <c r="CW92" s="92"/>
      <c r="CX92" s="92"/>
      <c r="CY92" s="93"/>
    </row>
    <row r="93" spans="1:103" s="40" customFormat="1" ht="19.5" customHeight="1" outlineLevel="1">
      <c r="A93" s="41"/>
      <c r="B93" s="107" t="s">
        <v>476</v>
      </c>
      <c r="C93" s="112" t="s">
        <v>116</v>
      </c>
      <c r="D93" s="75"/>
      <c r="E93" s="114" t="s">
        <v>116</v>
      </c>
      <c r="F93" s="36">
        <v>10500000</v>
      </c>
      <c r="G93" s="29">
        <v>0</v>
      </c>
      <c r="H93" s="29">
        <v>0</v>
      </c>
      <c r="I93" s="29">
        <v>0</v>
      </c>
      <c r="J93" s="29">
        <v>0</v>
      </c>
      <c r="K93" s="29">
        <v>10500000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36">
        <v>10500000</v>
      </c>
      <c r="U93" s="92">
        <v>0</v>
      </c>
      <c r="V93" s="92">
        <v>0</v>
      </c>
      <c r="W93" s="92">
        <v>0</v>
      </c>
      <c r="X93" s="92">
        <v>0</v>
      </c>
      <c r="Y93" s="92">
        <v>10500000</v>
      </c>
      <c r="Z93" s="92">
        <v>0</v>
      </c>
      <c r="AA93" s="92">
        <v>0</v>
      </c>
      <c r="AB93" s="92">
        <v>0</v>
      </c>
      <c r="AC93" s="92">
        <v>0</v>
      </c>
      <c r="AD93" s="92">
        <v>0</v>
      </c>
      <c r="AE93" s="92">
        <v>0</v>
      </c>
      <c r="AF93" s="92">
        <v>0</v>
      </c>
      <c r="AG93" s="93"/>
      <c r="AH93" s="36">
        <v>10500000</v>
      </c>
      <c r="AI93" s="92">
        <v>0</v>
      </c>
      <c r="AJ93" s="92">
        <v>0</v>
      </c>
      <c r="AK93" s="92">
        <v>0</v>
      </c>
      <c r="AL93" s="92">
        <v>10500000</v>
      </c>
      <c r="AM93" s="92">
        <v>0</v>
      </c>
      <c r="AN93" s="92">
        <v>0</v>
      </c>
      <c r="AO93" s="92">
        <v>0</v>
      </c>
      <c r="AP93" s="92">
        <v>0</v>
      </c>
      <c r="AQ93" s="92">
        <v>0</v>
      </c>
      <c r="AR93" s="92">
        <v>0</v>
      </c>
      <c r="AS93" s="92">
        <v>0</v>
      </c>
      <c r="AT93" s="92">
        <v>0</v>
      </c>
      <c r="AU93" s="94"/>
      <c r="AV93" s="36">
        <v>10500000</v>
      </c>
      <c r="AW93" s="29"/>
      <c r="AX93" s="29"/>
      <c r="AY93" s="29"/>
      <c r="AZ93" s="29"/>
      <c r="BA93" s="29">
        <v>10500000</v>
      </c>
      <c r="BB93" s="29"/>
      <c r="BC93" s="29"/>
      <c r="BD93" s="29"/>
      <c r="BE93" s="29"/>
      <c r="BF93" s="29"/>
      <c r="BG93" s="29"/>
      <c r="BH93" s="29"/>
      <c r="BI93" s="29"/>
      <c r="BJ93" s="36">
        <v>10500000</v>
      </c>
      <c r="BK93" s="92"/>
      <c r="BL93" s="92"/>
      <c r="BM93" s="92"/>
      <c r="BN93" s="92"/>
      <c r="BO93" s="92">
        <v>10500000</v>
      </c>
      <c r="BP93" s="92"/>
      <c r="BQ93" s="92"/>
      <c r="BR93" s="92"/>
      <c r="BS93" s="92"/>
      <c r="BT93" s="92"/>
      <c r="BU93" s="92"/>
      <c r="BV93" s="92"/>
      <c r="BW93" s="93"/>
      <c r="BX93" s="36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36"/>
      <c r="CM93" s="92"/>
      <c r="CN93" s="92"/>
      <c r="CO93" s="92"/>
      <c r="CP93" s="92"/>
      <c r="CQ93" s="92"/>
      <c r="CR93" s="92"/>
      <c r="CS93" s="92"/>
      <c r="CT93" s="92"/>
      <c r="CU93" s="92"/>
      <c r="CV93" s="92"/>
      <c r="CW93" s="92"/>
      <c r="CX93" s="92"/>
      <c r="CY93" s="93"/>
    </row>
    <row r="94" spans="1:103" s="40" customFormat="1" ht="19.5" customHeight="1" outlineLevel="1">
      <c r="A94" s="41"/>
      <c r="B94" s="107" t="s">
        <v>476</v>
      </c>
      <c r="C94" s="115" t="s">
        <v>117</v>
      </c>
      <c r="D94" s="75"/>
      <c r="E94" s="116" t="s">
        <v>117</v>
      </c>
      <c r="F94" s="36">
        <v>2400000</v>
      </c>
      <c r="G94" s="29">
        <v>0</v>
      </c>
      <c r="H94" s="29">
        <v>0</v>
      </c>
      <c r="I94" s="29">
        <v>0</v>
      </c>
      <c r="J94" s="29">
        <v>0</v>
      </c>
      <c r="K94" s="29">
        <v>0</v>
      </c>
      <c r="L94" s="29">
        <v>2400000</v>
      </c>
      <c r="M94" s="29">
        <v>0</v>
      </c>
      <c r="N94" s="29">
        <v>0</v>
      </c>
      <c r="O94" s="29">
        <v>0</v>
      </c>
      <c r="P94" s="29">
        <v>0</v>
      </c>
      <c r="Q94" s="29">
        <v>0</v>
      </c>
      <c r="R94" s="29">
        <v>0</v>
      </c>
      <c r="S94" s="29">
        <v>0</v>
      </c>
      <c r="T94" s="36">
        <v>3000000</v>
      </c>
      <c r="U94" s="92">
        <v>0</v>
      </c>
      <c r="V94" s="92">
        <v>0</v>
      </c>
      <c r="W94" s="92">
        <v>0</v>
      </c>
      <c r="X94" s="92">
        <v>0</v>
      </c>
      <c r="Y94" s="92">
        <v>3000000</v>
      </c>
      <c r="Z94" s="92">
        <v>0</v>
      </c>
      <c r="AA94" s="92">
        <v>0</v>
      </c>
      <c r="AB94" s="92">
        <v>0</v>
      </c>
      <c r="AC94" s="92">
        <v>0</v>
      </c>
      <c r="AD94" s="92">
        <v>0</v>
      </c>
      <c r="AE94" s="92">
        <v>0</v>
      </c>
      <c r="AF94" s="92">
        <v>0</v>
      </c>
      <c r="AG94" s="93"/>
      <c r="AH94" s="36">
        <v>2700000</v>
      </c>
      <c r="AI94" s="92">
        <v>0</v>
      </c>
      <c r="AJ94" s="92">
        <v>0</v>
      </c>
      <c r="AK94" s="92">
        <v>0</v>
      </c>
      <c r="AL94" s="92">
        <v>0</v>
      </c>
      <c r="AM94" s="92">
        <v>2700000</v>
      </c>
      <c r="AN94" s="92">
        <v>0</v>
      </c>
      <c r="AO94" s="92">
        <v>0</v>
      </c>
      <c r="AP94" s="92">
        <v>0</v>
      </c>
      <c r="AQ94" s="92">
        <v>0</v>
      </c>
      <c r="AR94" s="92">
        <v>0</v>
      </c>
      <c r="AS94" s="92">
        <v>0</v>
      </c>
      <c r="AT94" s="92">
        <v>0</v>
      </c>
      <c r="AU94" s="94"/>
      <c r="AV94" s="36">
        <v>2400000</v>
      </c>
      <c r="AW94" s="29"/>
      <c r="AX94" s="29"/>
      <c r="AY94" s="29"/>
      <c r="AZ94" s="29"/>
      <c r="BA94" s="29"/>
      <c r="BB94" s="29">
        <v>2400000</v>
      </c>
      <c r="BC94" s="29"/>
      <c r="BD94" s="29"/>
      <c r="BE94" s="29"/>
      <c r="BF94" s="29"/>
      <c r="BG94" s="29"/>
      <c r="BH94" s="29"/>
      <c r="BI94" s="29"/>
      <c r="BJ94" s="36">
        <v>2400000</v>
      </c>
      <c r="BK94" s="92"/>
      <c r="BL94" s="92"/>
      <c r="BM94" s="92"/>
      <c r="BN94" s="92"/>
      <c r="BO94" s="92"/>
      <c r="BP94" s="92">
        <v>2400000</v>
      </c>
      <c r="BQ94" s="92"/>
      <c r="BR94" s="92"/>
      <c r="BS94" s="92"/>
      <c r="BT94" s="92"/>
      <c r="BU94" s="92"/>
      <c r="BV94" s="92"/>
      <c r="BW94" s="93"/>
      <c r="BX94" s="36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36"/>
      <c r="CM94" s="92"/>
      <c r="CN94" s="92"/>
      <c r="CO94" s="92"/>
      <c r="CP94" s="92"/>
      <c r="CQ94" s="92"/>
      <c r="CR94" s="92"/>
      <c r="CS94" s="92"/>
      <c r="CT94" s="92"/>
      <c r="CU94" s="92"/>
      <c r="CV94" s="92"/>
      <c r="CW94" s="92"/>
      <c r="CX94" s="92"/>
      <c r="CY94" s="93"/>
    </row>
    <row r="95" spans="1:103" s="40" customFormat="1" ht="19.5" customHeight="1" outlineLevel="1">
      <c r="A95" s="41"/>
      <c r="B95" s="107" t="s">
        <v>476</v>
      </c>
      <c r="C95" s="115" t="s">
        <v>118</v>
      </c>
      <c r="D95" s="75"/>
      <c r="E95" s="116" t="str">
        <f>C95</f>
        <v>Chi phí báo chí sự kiện Đại hội cổ đông OCH</v>
      </c>
      <c r="F95" s="36">
        <v>1737957</v>
      </c>
      <c r="G95" s="29">
        <v>0</v>
      </c>
      <c r="H95" s="29">
        <v>0</v>
      </c>
      <c r="I95" s="29">
        <v>0</v>
      </c>
      <c r="J95" s="29">
        <v>0</v>
      </c>
      <c r="K95" s="29">
        <v>0</v>
      </c>
      <c r="L95" s="29">
        <v>1737957</v>
      </c>
      <c r="M95" s="29">
        <v>0</v>
      </c>
      <c r="N95" s="29">
        <v>0</v>
      </c>
      <c r="O95" s="29">
        <v>0</v>
      </c>
      <c r="P95" s="29">
        <v>0</v>
      </c>
      <c r="Q95" s="29">
        <v>0</v>
      </c>
      <c r="R95" s="29">
        <v>0</v>
      </c>
      <c r="S95" s="29">
        <v>0</v>
      </c>
      <c r="T95" s="36">
        <v>20000000</v>
      </c>
      <c r="U95" s="92">
        <v>0</v>
      </c>
      <c r="V95" s="92">
        <v>0</v>
      </c>
      <c r="W95" s="92">
        <v>0</v>
      </c>
      <c r="X95" s="92">
        <v>0</v>
      </c>
      <c r="Y95" s="92">
        <v>20000000</v>
      </c>
      <c r="Z95" s="92">
        <v>0</v>
      </c>
      <c r="AA95" s="92">
        <v>0</v>
      </c>
      <c r="AB95" s="92">
        <v>0</v>
      </c>
      <c r="AC95" s="92">
        <v>0</v>
      </c>
      <c r="AD95" s="92">
        <v>0</v>
      </c>
      <c r="AE95" s="92">
        <v>0</v>
      </c>
      <c r="AF95" s="92">
        <v>0</v>
      </c>
      <c r="AG95" s="93"/>
      <c r="AH95" s="36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4"/>
      <c r="AV95" s="36">
        <v>25000000</v>
      </c>
      <c r="AW95" s="29"/>
      <c r="AX95" s="29"/>
      <c r="AY95" s="29"/>
      <c r="AZ95" s="29"/>
      <c r="BA95" s="29">
        <v>25000000</v>
      </c>
      <c r="BB95" s="29"/>
      <c r="BC95" s="29"/>
      <c r="BD95" s="29"/>
      <c r="BE95" s="29"/>
      <c r="BF95" s="29"/>
      <c r="BG95" s="29"/>
      <c r="BH95" s="29"/>
      <c r="BI95" s="29"/>
      <c r="BJ95" s="36">
        <v>25000000</v>
      </c>
      <c r="BK95" s="92"/>
      <c r="BL95" s="92"/>
      <c r="BM95" s="92"/>
      <c r="BN95" s="92"/>
      <c r="BO95" s="92">
        <v>25000000</v>
      </c>
      <c r="BP95" s="92"/>
      <c r="BQ95" s="92"/>
      <c r="BR95" s="92"/>
      <c r="BS95" s="92"/>
      <c r="BT95" s="92"/>
      <c r="BU95" s="92"/>
      <c r="BV95" s="92"/>
      <c r="BW95" s="93"/>
      <c r="BX95" s="36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36"/>
      <c r="CM95" s="92"/>
      <c r="CN95" s="92"/>
      <c r="CO95" s="92"/>
      <c r="CP95" s="92"/>
      <c r="CQ95" s="92"/>
      <c r="CR95" s="92"/>
      <c r="CS95" s="92"/>
      <c r="CT95" s="92"/>
      <c r="CU95" s="92"/>
      <c r="CV95" s="92"/>
      <c r="CW95" s="92"/>
      <c r="CX95" s="92"/>
      <c r="CY95" s="93"/>
    </row>
    <row r="96" spans="1:103" s="40" customFormat="1" ht="19.5" customHeight="1" outlineLevel="1">
      <c r="A96" s="41"/>
      <c r="B96" s="107" t="s">
        <v>476</v>
      </c>
      <c r="C96" s="112" t="s">
        <v>119</v>
      </c>
      <c r="D96" s="75"/>
      <c r="E96" s="114" t="s">
        <v>119</v>
      </c>
      <c r="F96" s="36">
        <v>0</v>
      </c>
      <c r="G96" s="29">
        <v>0</v>
      </c>
      <c r="H96" s="29">
        <v>0</v>
      </c>
      <c r="I96" s="29">
        <v>0</v>
      </c>
      <c r="J96" s="29">
        <v>0</v>
      </c>
      <c r="K96" s="29">
        <v>0</v>
      </c>
      <c r="L96" s="29">
        <v>0</v>
      </c>
      <c r="M96" s="29">
        <v>0</v>
      </c>
      <c r="N96" s="29">
        <v>0</v>
      </c>
      <c r="O96" s="29">
        <v>0</v>
      </c>
      <c r="P96" s="29">
        <v>0</v>
      </c>
      <c r="Q96" s="29">
        <v>0</v>
      </c>
      <c r="R96" s="29">
        <v>0</v>
      </c>
      <c r="S96" s="29">
        <v>0</v>
      </c>
      <c r="T96" s="36">
        <v>10000000</v>
      </c>
      <c r="U96" s="92">
        <v>0</v>
      </c>
      <c r="V96" s="92">
        <v>0</v>
      </c>
      <c r="W96" s="92">
        <v>0</v>
      </c>
      <c r="X96" s="92">
        <v>0</v>
      </c>
      <c r="Y96" s="92">
        <v>10000000</v>
      </c>
      <c r="Z96" s="92">
        <v>0</v>
      </c>
      <c r="AA96" s="92">
        <v>0</v>
      </c>
      <c r="AB96" s="92">
        <v>0</v>
      </c>
      <c r="AC96" s="92">
        <v>0</v>
      </c>
      <c r="AD96" s="92">
        <v>0</v>
      </c>
      <c r="AE96" s="92">
        <v>0</v>
      </c>
      <c r="AF96" s="92">
        <v>0</v>
      </c>
      <c r="AG96" s="93"/>
      <c r="AH96" s="36">
        <v>0</v>
      </c>
      <c r="AI96" s="92">
        <v>0</v>
      </c>
      <c r="AJ96" s="92">
        <v>0</v>
      </c>
      <c r="AK96" s="92">
        <v>0</v>
      </c>
      <c r="AL96" s="92">
        <v>0</v>
      </c>
      <c r="AM96" s="92">
        <v>0</v>
      </c>
      <c r="AN96" s="92">
        <v>0</v>
      </c>
      <c r="AO96" s="92">
        <v>0</v>
      </c>
      <c r="AP96" s="92">
        <v>0</v>
      </c>
      <c r="AQ96" s="92">
        <v>0</v>
      </c>
      <c r="AR96" s="92">
        <v>0</v>
      </c>
      <c r="AS96" s="92">
        <v>0</v>
      </c>
      <c r="AT96" s="92">
        <v>0</v>
      </c>
      <c r="AU96" s="94"/>
      <c r="AV96" s="36">
        <v>0</v>
      </c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36">
        <v>0</v>
      </c>
      <c r="BK96" s="92"/>
      <c r="BL96" s="92"/>
      <c r="BM96" s="92"/>
      <c r="BN96" s="92"/>
      <c r="BO96" s="92"/>
      <c r="BP96" s="92"/>
      <c r="BQ96" s="92"/>
      <c r="BR96" s="92"/>
      <c r="BS96" s="92"/>
      <c r="BT96" s="92"/>
      <c r="BU96" s="92"/>
      <c r="BV96" s="92"/>
      <c r="BW96" s="93"/>
      <c r="BX96" s="36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36"/>
      <c r="CM96" s="92"/>
      <c r="CN96" s="92"/>
      <c r="CO96" s="92"/>
      <c r="CP96" s="92"/>
      <c r="CQ96" s="92"/>
      <c r="CR96" s="92"/>
      <c r="CS96" s="92"/>
      <c r="CT96" s="92"/>
      <c r="CU96" s="92"/>
      <c r="CV96" s="92"/>
      <c r="CW96" s="92"/>
      <c r="CX96" s="92"/>
      <c r="CY96" s="93"/>
    </row>
    <row r="97" spans="1:103" s="40" customFormat="1" ht="19.5" customHeight="1" outlineLevel="1">
      <c r="A97" s="41"/>
      <c r="B97" s="107" t="s">
        <v>492</v>
      </c>
      <c r="C97" s="112"/>
      <c r="D97" s="75"/>
      <c r="E97" s="114"/>
      <c r="F97" s="36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36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3"/>
      <c r="AH97" s="36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4"/>
      <c r="AV97" s="36">
        <v>1800000000</v>
      </c>
      <c r="AW97" s="29">
        <v>0</v>
      </c>
      <c r="AX97" s="29">
        <v>0</v>
      </c>
      <c r="AY97" s="29">
        <v>0</v>
      </c>
      <c r="AZ97" s="29">
        <v>0</v>
      </c>
      <c r="BA97" s="29">
        <v>600000000</v>
      </c>
      <c r="BB97" s="29">
        <v>1000000000</v>
      </c>
      <c r="BC97" s="29">
        <v>200000000</v>
      </c>
      <c r="BD97" s="29">
        <v>0</v>
      </c>
      <c r="BE97" s="29">
        <v>0</v>
      </c>
      <c r="BF97" s="29">
        <v>0</v>
      </c>
      <c r="BG97" s="29">
        <v>0</v>
      </c>
      <c r="BH97" s="29">
        <v>0</v>
      </c>
      <c r="BI97" s="29"/>
      <c r="BJ97" s="36">
        <v>1800000000</v>
      </c>
      <c r="BK97" s="92">
        <v>0</v>
      </c>
      <c r="BL97" s="92">
        <v>0</v>
      </c>
      <c r="BM97" s="92">
        <v>0</v>
      </c>
      <c r="BN97" s="92">
        <v>0</v>
      </c>
      <c r="BO97" s="92">
        <v>600000000</v>
      </c>
      <c r="BP97" s="92">
        <v>1000000000</v>
      </c>
      <c r="BQ97" s="92">
        <v>200000000</v>
      </c>
      <c r="BR97" s="92">
        <v>0</v>
      </c>
      <c r="BS97" s="92">
        <v>0</v>
      </c>
      <c r="BT97" s="92">
        <v>0</v>
      </c>
      <c r="BU97" s="92">
        <v>0</v>
      </c>
      <c r="BV97" s="92">
        <v>0</v>
      </c>
      <c r="BW97" s="93"/>
      <c r="BX97" s="36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36"/>
      <c r="CM97" s="92"/>
      <c r="CN97" s="92"/>
      <c r="CO97" s="92"/>
      <c r="CP97" s="92"/>
      <c r="CQ97" s="92"/>
      <c r="CR97" s="92"/>
      <c r="CS97" s="92"/>
      <c r="CT97" s="92"/>
      <c r="CU97" s="92"/>
      <c r="CV97" s="92"/>
      <c r="CW97" s="92"/>
      <c r="CX97" s="92"/>
      <c r="CY97" s="93"/>
    </row>
    <row r="98" spans="1:103" s="40" customFormat="1" ht="19.5" customHeight="1" outlineLevel="1">
      <c r="A98" s="41"/>
      <c r="B98" s="107" t="s">
        <v>492</v>
      </c>
      <c r="C98" s="112"/>
      <c r="D98" s="75"/>
      <c r="E98" s="295" t="s">
        <v>488</v>
      </c>
      <c r="F98" s="36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36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3"/>
      <c r="AH98" s="36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4"/>
      <c r="AV98" s="36">
        <v>500000000</v>
      </c>
      <c r="AW98" s="29"/>
      <c r="AX98" s="29"/>
      <c r="AY98" s="29"/>
      <c r="AZ98" s="29"/>
      <c r="BA98" s="29">
        <v>200000000</v>
      </c>
      <c r="BB98" s="29">
        <v>300000000</v>
      </c>
      <c r="BC98" s="29"/>
      <c r="BD98" s="29"/>
      <c r="BE98" s="29"/>
      <c r="BF98" s="29"/>
      <c r="BG98" s="29"/>
      <c r="BH98" s="29"/>
      <c r="BI98" s="29"/>
      <c r="BJ98" s="36">
        <v>500000000</v>
      </c>
      <c r="BK98" s="92"/>
      <c r="BL98" s="92"/>
      <c r="BM98" s="92"/>
      <c r="BN98" s="92"/>
      <c r="BO98" s="92">
        <v>200000000</v>
      </c>
      <c r="BP98" s="92">
        <v>300000000</v>
      </c>
      <c r="BQ98" s="92"/>
      <c r="BR98" s="92"/>
      <c r="BS98" s="92"/>
      <c r="BT98" s="92"/>
      <c r="BU98" s="92"/>
      <c r="BV98" s="92"/>
      <c r="BW98" s="93"/>
      <c r="BX98" s="36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36"/>
      <c r="CM98" s="92"/>
      <c r="CN98" s="92"/>
      <c r="CO98" s="92"/>
      <c r="CP98" s="92"/>
      <c r="CQ98" s="92"/>
      <c r="CR98" s="92"/>
      <c r="CS98" s="92"/>
      <c r="CT98" s="92"/>
      <c r="CU98" s="92"/>
      <c r="CV98" s="92"/>
      <c r="CW98" s="92"/>
      <c r="CX98" s="92"/>
      <c r="CY98" s="93"/>
    </row>
    <row r="99" spans="1:103" s="40" customFormat="1" ht="19.5" customHeight="1" outlineLevel="1">
      <c r="A99" s="41"/>
      <c r="B99" s="107" t="s">
        <v>492</v>
      </c>
      <c r="C99" s="112"/>
      <c r="D99" s="75"/>
      <c r="E99" s="295" t="s">
        <v>489</v>
      </c>
      <c r="F99" s="36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36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3"/>
      <c r="AH99" s="36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4"/>
      <c r="AV99" s="36">
        <v>100000000</v>
      </c>
      <c r="AW99" s="29"/>
      <c r="AX99" s="29"/>
      <c r="AY99" s="29"/>
      <c r="AZ99" s="29"/>
      <c r="BA99" s="29"/>
      <c r="BB99" s="29">
        <v>100000000</v>
      </c>
      <c r="BC99" s="29"/>
      <c r="BD99" s="29"/>
      <c r="BE99" s="29"/>
      <c r="BF99" s="29"/>
      <c r="BG99" s="29"/>
      <c r="BH99" s="29"/>
      <c r="BI99" s="29"/>
      <c r="BJ99" s="36">
        <v>100000000</v>
      </c>
      <c r="BK99" s="92"/>
      <c r="BL99" s="92"/>
      <c r="BM99" s="92"/>
      <c r="BN99" s="92"/>
      <c r="BO99" s="92"/>
      <c r="BP99" s="92">
        <v>100000000</v>
      </c>
      <c r="BQ99" s="92"/>
      <c r="BR99" s="92"/>
      <c r="BS99" s="92"/>
      <c r="BT99" s="92"/>
      <c r="BU99" s="92"/>
      <c r="BV99" s="92"/>
      <c r="BW99" s="93"/>
      <c r="BX99" s="36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36"/>
      <c r="CM99" s="92"/>
      <c r="CN99" s="92"/>
      <c r="CO99" s="92"/>
      <c r="CP99" s="92"/>
      <c r="CQ99" s="92"/>
      <c r="CR99" s="92"/>
      <c r="CS99" s="92"/>
      <c r="CT99" s="92"/>
      <c r="CU99" s="92"/>
      <c r="CV99" s="92"/>
      <c r="CW99" s="92"/>
      <c r="CX99" s="92"/>
      <c r="CY99" s="93"/>
    </row>
    <row r="100" spans="1:103" s="40" customFormat="1" ht="19.5" customHeight="1" outlineLevel="1">
      <c r="A100" s="41"/>
      <c r="B100" s="107" t="s">
        <v>492</v>
      </c>
      <c r="C100" s="112"/>
      <c r="D100" s="75"/>
      <c r="E100" s="295" t="s">
        <v>490</v>
      </c>
      <c r="F100" s="36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36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3"/>
      <c r="AH100" s="36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4"/>
      <c r="AV100" s="36">
        <v>1000000000</v>
      </c>
      <c r="AW100" s="29"/>
      <c r="AX100" s="29"/>
      <c r="AY100" s="29"/>
      <c r="AZ100" s="29"/>
      <c r="BA100" s="29">
        <v>300000000</v>
      </c>
      <c r="BB100" s="29">
        <v>500000000</v>
      </c>
      <c r="BC100" s="29">
        <v>200000000</v>
      </c>
      <c r="BD100" s="29"/>
      <c r="BE100" s="29"/>
      <c r="BF100" s="29"/>
      <c r="BG100" s="29"/>
      <c r="BH100" s="29"/>
      <c r="BI100" s="29"/>
      <c r="BJ100" s="36">
        <v>1000000000</v>
      </c>
      <c r="BK100" s="92"/>
      <c r="BL100" s="92"/>
      <c r="BM100" s="92"/>
      <c r="BN100" s="92"/>
      <c r="BO100" s="92">
        <v>300000000</v>
      </c>
      <c r="BP100" s="92">
        <v>500000000</v>
      </c>
      <c r="BQ100" s="92">
        <v>200000000</v>
      </c>
      <c r="BR100" s="92"/>
      <c r="BS100" s="92"/>
      <c r="BT100" s="92"/>
      <c r="BU100" s="92"/>
      <c r="BV100" s="92"/>
      <c r="BW100" s="93"/>
      <c r="BX100" s="36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36"/>
      <c r="CM100" s="92"/>
      <c r="CN100" s="92"/>
      <c r="CO100" s="92"/>
      <c r="CP100" s="92"/>
      <c r="CQ100" s="92"/>
      <c r="CR100" s="92"/>
      <c r="CS100" s="92"/>
      <c r="CT100" s="92"/>
      <c r="CU100" s="92"/>
      <c r="CV100" s="92"/>
      <c r="CW100" s="92"/>
      <c r="CX100" s="92"/>
      <c r="CY100" s="93"/>
    </row>
    <row r="101" spans="1:103" s="40" customFormat="1" ht="19.5" customHeight="1" outlineLevel="1">
      <c r="A101" s="41"/>
      <c r="B101" s="107" t="s">
        <v>492</v>
      </c>
      <c r="C101" s="112"/>
      <c r="D101" s="75"/>
      <c r="E101" s="295" t="s">
        <v>491</v>
      </c>
      <c r="F101" s="36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36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3"/>
      <c r="AH101" s="36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4"/>
      <c r="AV101" s="36">
        <v>200000000</v>
      </c>
      <c r="AW101" s="29"/>
      <c r="AX101" s="29"/>
      <c r="AY101" s="29"/>
      <c r="AZ101" s="29"/>
      <c r="BA101" s="29">
        <v>100000000</v>
      </c>
      <c r="BB101" s="29">
        <v>100000000</v>
      </c>
      <c r="BC101" s="29"/>
      <c r="BD101" s="29"/>
      <c r="BE101" s="29"/>
      <c r="BF101" s="29"/>
      <c r="BG101" s="29"/>
      <c r="BH101" s="29"/>
      <c r="BI101" s="29"/>
      <c r="BJ101" s="36">
        <v>200000000</v>
      </c>
      <c r="BK101" s="92"/>
      <c r="BL101" s="92"/>
      <c r="BM101" s="92"/>
      <c r="BN101" s="92"/>
      <c r="BO101" s="92">
        <v>100000000</v>
      </c>
      <c r="BP101" s="92">
        <v>100000000</v>
      </c>
      <c r="BQ101" s="92"/>
      <c r="BR101" s="92"/>
      <c r="BS101" s="92"/>
      <c r="BT101" s="92"/>
      <c r="BU101" s="92"/>
      <c r="BV101" s="92"/>
      <c r="BW101" s="93"/>
      <c r="BX101" s="36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36"/>
      <c r="CM101" s="92"/>
      <c r="CN101" s="92"/>
      <c r="CO101" s="92"/>
      <c r="CP101" s="92"/>
      <c r="CQ101" s="92"/>
      <c r="CR101" s="92"/>
      <c r="CS101" s="92"/>
      <c r="CT101" s="92"/>
      <c r="CU101" s="92"/>
      <c r="CV101" s="92"/>
      <c r="CW101" s="92"/>
      <c r="CX101" s="92"/>
      <c r="CY101" s="93"/>
    </row>
    <row r="102" spans="1:103" s="32" customFormat="1" ht="19.5" customHeight="1">
      <c r="A102" s="41">
        <v>34</v>
      </c>
      <c r="B102" s="107" t="s">
        <v>120</v>
      </c>
      <c r="C102" s="61"/>
      <c r="D102" s="77"/>
      <c r="E102" s="77"/>
      <c r="F102" s="28">
        <v>32960000</v>
      </c>
      <c r="G102" s="117">
        <v>0</v>
      </c>
      <c r="H102" s="117">
        <v>0</v>
      </c>
      <c r="I102" s="117">
        <v>0</v>
      </c>
      <c r="J102" s="117">
        <v>0</v>
      </c>
      <c r="K102" s="117">
        <v>0</v>
      </c>
      <c r="L102" s="117">
        <v>0</v>
      </c>
      <c r="M102" s="117">
        <v>32960000</v>
      </c>
      <c r="N102" s="117">
        <v>0</v>
      </c>
      <c r="O102" s="117">
        <v>0</v>
      </c>
      <c r="P102" s="117">
        <v>0</v>
      </c>
      <c r="Q102" s="117">
        <v>0</v>
      </c>
      <c r="R102" s="117">
        <v>0</v>
      </c>
      <c r="S102" s="117">
        <v>0</v>
      </c>
      <c r="T102" s="28">
        <v>115740740.74074075</v>
      </c>
      <c r="U102" s="117">
        <v>0</v>
      </c>
      <c r="V102" s="117">
        <v>0</v>
      </c>
      <c r="W102" s="117">
        <v>0</v>
      </c>
      <c r="X102" s="117">
        <v>18518518.518518519</v>
      </c>
      <c r="Y102" s="117">
        <v>32407407.407407407</v>
      </c>
      <c r="Z102" s="117">
        <v>0</v>
      </c>
      <c r="AA102" s="117">
        <v>27777777.777777776</v>
      </c>
      <c r="AB102" s="117">
        <v>0</v>
      </c>
      <c r="AC102" s="117">
        <v>18518518.518518519</v>
      </c>
      <c r="AD102" s="117">
        <v>0</v>
      </c>
      <c r="AE102" s="117">
        <v>18518518.518518519</v>
      </c>
      <c r="AF102" s="117">
        <v>0</v>
      </c>
      <c r="AG102" s="118"/>
      <c r="AH102" s="28">
        <v>98583171</v>
      </c>
      <c r="AI102" s="117">
        <v>0</v>
      </c>
      <c r="AJ102" s="117">
        <v>0</v>
      </c>
      <c r="AK102" s="117">
        <v>0</v>
      </c>
      <c r="AL102" s="117">
        <v>0</v>
      </c>
      <c r="AM102" s="117">
        <v>0</v>
      </c>
      <c r="AN102" s="117">
        <v>0</v>
      </c>
      <c r="AO102" s="117">
        <v>46116000</v>
      </c>
      <c r="AP102" s="117">
        <v>37000000</v>
      </c>
      <c r="AQ102" s="117">
        <v>0</v>
      </c>
      <c r="AR102" s="117">
        <v>0</v>
      </c>
      <c r="AS102" s="117">
        <v>15467171</v>
      </c>
      <c r="AT102" s="117">
        <v>0</v>
      </c>
      <c r="AU102" s="119"/>
      <c r="AV102" s="28">
        <v>100000000</v>
      </c>
      <c r="AW102" s="117">
        <v>0</v>
      </c>
      <c r="AX102" s="117">
        <v>0</v>
      </c>
      <c r="AY102" s="117">
        <v>10000000</v>
      </c>
      <c r="AZ102" s="117">
        <v>0</v>
      </c>
      <c r="BA102" s="117">
        <v>10000000</v>
      </c>
      <c r="BB102" s="117">
        <v>0</v>
      </c>
      <c r="BC102" s="117">
        <v>46000000</v>
      </c>
      <c r="BD102" s="117">
        <v>10000000</v>
      </c>
      <c r="BE102" s="117">
        <v>10000000</v>
      </c>
      <c r="BF102" s="117">
        <v>0</v>
      </c>
      <c r="BG102" s="117">
        <v>14000000</v>
      </c>
      <c r="BH102" s="117">
        <v>0</v>
      </c>
      <c r="BI102" s="117"/>
      <c r="BJ102" s="28">
        <v>100000000</v>
      </c>
      <c r="BK102" s="117">
        <v>0</v>
      </c>
      <c r="BL102" s="117">
        <v>0</v>
      </c>
      <c r="BM102" s="117">
        <v>10000000</v>
      </c>
      <c r="BN102" s="117">
        <v>0</v>
      </c>
      <c r="BO102" s="117">
        <v>10000000</v>
      </c>
      <c r="BP102" s="117">
        <v>0</v>
      </c>
      <c r="BQ102" s="117">
        <v>46000000</v>
      </c>
      <c r="BR102" s="117">
        <v>10000000</v>
      </c>
      <c r="BS102" s="117">
        <v>10000000</v>
      </c>
      <c r="BT102" s="117">
        <v>0</v>
      </c>
      <c r="BU102" s="117">
        <v>14000000</v>
      </c>
      <c r="BV102" s="117">
        <v>0</v>
      </c>
      <c r="BW102" s="118"/>
      <c r="BX102" s="28"/>
      <c r="BY102" s="117"/>
      <c r="BZ102" s="117"/>
      <c r="CA102" s="117"/>
      <c r="CB102" s="117"/>
      <c r="CC102" s="117"/>
      <c r="CD102" s="117"/>
      <c r="CE102" s="117"/>
      <c r="CF102" s="117"/>
      <c r="CG102" s="117"/>
      <c r="CH102" s="117"/>
      <c r="CI102" s="117"/>
      <c r="CJ102" s="117"/>
      <c r="CK102" s="117"/>
      <c r="CL102" s="28"/>
      <c r="CM102" s="117"/>
      <c r="CN102" s="117"/>
      <c r="CO102" s="117"/>
      <c r="CP102" s="117"/>
      <c r="CQ102" s="117"/>
      <c r="CR102" s="117"/>
      <c r="CS102" s="117"/>
      <c r="CT102" s="117"/>
      <c r="CU102" s="117"/>
      <c r="CV102" s="117"/>
      <c r="CW102" s="117"/>
      <c r="CX102" s="117"/>
      <c r="CY102" s="118"/>
    </row>
    <row r="103" spans="1:103" s="40" customFormat="1" ht="19.5" customHeight="1" outlineLevel="1">
      <c r="A103" s="41"/>
      <c r="B103" s="107" t="s">
        <v>120</v>
      </c>
      <c r="C103" s="91" t="s">
        <v>121</v>
      </c>
      <c r="D103" s="75"/>
      <c r="E103" s="58" t="s">
        <v>121</v>
      </c>
      <c r="F103" s="120">
        <v>31860000</v>
      </c>
      <c r="G103" s="29">
        <v>0</v>
      </c>
      <c r="H103" s="29">
        <v>0</v>
      </c>
      <c r="I103" s="29">
        <v>0</v>
      </c>
      <c r="J103" s="29">
        <v>0</v>
      </c>
      <c r="K103" s="29">
        <v>0</v>
      </c>
      <c r="L103" s="29">
        <v>0</v>
      </c>
      <c r="M103" s="29">
        <v>31860000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121">
        <v>50925925.925925925</v>
      </c>
      <c r="U103" s="92">
        <v>0</v>
      </c>
      <c r="V103" s="92">
        <v>0</v>
      </c>
      <c r="W103" s="92">
        <v>0</v>
      </c>
      <c r="X103" s="92">
        <v>0</v>
      </c>
      <c r="Y103" s="92">
        <v>32407407.407407407</v>
      </c>
      <c r="Z103" s="92">
        <v>0</v>
      </c>
      <c r="AA103" s="92">
        <v>0</v>
      </c>
      <c r="AB103" s="92">
        <v>0</v>
      </c>
      <c r="AC103" s="92">
        <v>18518518.518518519</v>
      </c>
      <c r="AD103" s="92">
        <v>0</v>
      </c>
      <c r="AE103" s="92">
        <v>0</v>
      </c>
      <c r="AF103" s="92">
        <v>0</v>
      </c>
      <c r="AG103" s="93"/>
      <c r="AH103" s="122">
        <v>46116000</v>
      </c>
      <c r="AI103" s="92">
        <v>0</v>
      </c>
      <c r="AJ103" s="92">
        <v>0</v>
      </c>
      <c r="AK103" s="92">
        <v>0</v>
      </c>
      <c r="AL103" s="92">
        <v>0</v>
      </c>
      <c r="AM103" s="92">
        <v>0</v>
      </c>
      <c r="AN103" s="92">
        <v>0</v>
      </c>
      <c r="AO103" s="92">
        <v>46116000</v>
      </c>
      <c r="AP103" s="92">
        <v>0</v>
      </c>
      <c r="AQ103" s="92">
        <v>0</v>
      </c>
      <c r="AR103" s="92">
        <v>0</v>
      </c>
      <c r="AS103" s="92">
        <v>0</v>
      </c>
      <c r="AT103" s="92">
        <v>0</v>
      </c>
      <c r="AU103" s="94"/>
      <c r="AV103" s="120">
        <v>36000000</v>
      </c>
      <c r="AW103" s="29"/>
      <c r="AX103" s="29"/>
      <c r="AY103" s="29"/>
      <c r="AZ103" s="29"/>
      <c r="BA103" s="29"/>
      <c r="BB103" s="29"/>
      <c r="BC103" s="29">
        <v>36000000</v>
      </c>
      <c r="BD103" s="29"/>
      <c r="BE103" s="29"/>
      <c r="BF103" s="29"/>
      <c r="BG103" s="29"/>
      <c r="BH103" s="29"/>
      <c r="BI103" s="29"/>
      <c r="BJ103" s="121">
        <v>36000000</v>
      </c>
      <c r="BK103" s="92"/>
      <c r="BL103" s="92"/>
      <c r="BM103" s="92"/>
      <c r="BN103" s="92"/>
      <c r="BO103" s="92"/>
      <c r="BP103" s="92"/>
      <c r="BQ103" s="92">
        <v>36000000</v>
      </c>
      <c r="BR103" s="92"/>
      <c r="BS103" s="92"/>
      <c r="BT103" s="92"/>
      <c r="BU103" s="92"/>
      <c r="BV103" s="92"/>
      <c r="BW103" s="93"/>
      <c r="BX103" s="120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121"/>
      <c r="CM103" s="92"/>
      <c r="CN103" s="92"/>
      <c r="CO103" s="92"/>
      <c r="CP103" s="92"/>
      <c r="CQ103" s="92"/>
      <c r="CR103" s="92"/>
      <c r="CS103" s="92"/>
      <c r="CT103" s="92"/>
      <c r="CU103" s="92"/>
      <c r="CV103" s="92"/>
      <c r="CW103" s="92"/>
      <c r="CX103" s="92"/>
      <c r="CY103" s="93"/>
    </row>
    <row r="104" spans="1:103" s="40" customFormat="1" ht="19.5" customHeight="1" outlineLevel="1">
      <c r="A104" s="41"/>
      <c r="B104" s="107" t="s">
        <v>120</v>
      </c>
      <c r="C104" s="91" t="s">
        <v>122</v>
      </c>
      <c r="D104" s="75"/>
      <c r="E104" s="58" t="s">
        <v>122</v>
      </c>
      <c r="F104" s="120">
        <v>1100000</v>
      </c>
      <c r="G104" s="29">
        <v>0</v>
      </c>
      <c r="H104" s="29">
        <v>0</v>
      </c>
      <c r="I104" s="29">
        <v>0</v>
      </c>
      <c r="J104" s="29">
        <v>0</v>
      </c>
      <c r="K104" s="29">
        <v>0</v>
      </c>
      <c r="L104" s="29">
        <v>0</v>
      </c>
      <c r="M104" s="29">
        <v>1100000</v>
      </c>
      <c r="N104" s="29">
        <v>0</v>
      </c>
      <c r="O104" s="29">
        <v>0</v>
      </c>
      <c r="P104" s="29">
        <v>0</v>
      </c>
      <c r="Q104" s="29">
        <v>0</v>
      </c>
      <c r="R104" s="29">
        <v>0</v>
      </c>
      <c r="S104" s="29">
        <v>0</v>
      </c>
      <c r="T104" s="121">
        <v>64814814.814814821</v>
      </c>
      <c r="U104" s="92">
        <v>0</v>
      </c>
      <c r="V104" s="92">
        <v>0</v>
      </c>
      <c r="W104" s="92">
        <v>0</v>
      </c>
      <c r="X104" s="92">
        <v>18518518.518518519</v>
      </c>
      <c r="Y104" s="92">
        <v>0</v>
      </c>
      <c r="Z104" s="92">
        <v>0</v>
      </c>
      <c r="AA104" s="92">
        <v>27777777.777777776</v>
      </c>
      <c r="AB104" s="92">
        <v>0</v>
      </c>
      <c r="AC104" s="92">
        <v>0</v>
      </c>
      <c r="AD104" s="92">
        <v>0</v>
      </c>
      <c r="AE104" s="92">
        <v>18518518.518518519</v>
      </c>
      <c r="AF104" s="92">
        <v>0</v>
      </c>
      <c r="AG104" s="93"/>
      <c r="AH104" s="122">
        <v>52467171</v>
      </c>
      <c r="AI104" s="92">
        <v>0</v>
      </c>
      <c r="AJ104" s="92">
        <v>0</v>
      </c>
      <c r="AK104" s="92">
        <v>0</v>
      </c>
      <c r="AL104" s="92">
        <v>0</v>
      </c>
      <c r="AM104" s="92">
        <v>0</v>
      </c>
      <c r="AN104" s="92">
        <v>0</v>
      </c>
      <c r="AO104" s="92">
        <v>0</v>
      </c>
      <c r="AP104" s="92">
        <v>37000000</v>
      </c>
      <c r="AQ104" s="92">
        <v>0</v>
      </c>
      <c r="AR104" s="92">
        <v>0</v>
      </c>
      <c r="AS104" s="92">
        <v>15467171</v>
      </c>
      <c r="AT104" s="92">
        <v>0</v>
      </c>
      <c r="AU104" s="94"/>
      <c r="AV104" s="120">
        <v>64000000</v>
      </c>
      <c r="AW104" s="29"/>
      <c r="AX104" s="29"/>
      <c r="AY104" s="29">
        <v>10000000</v>
      </c>
      <c r="AZ104" s="29"/>
      <c r="BA104" s="29">
        <v>10000000</v>
      </c>
      <c r="BB104" s="29"/>
      <c r="BC104" s="29">
        <v>10000000</v>
      </c>
      <c r="BD104" s="29">
        <v>10000000</v>
      </c>
      <c r="BE104" s="29">
        <v>10000000</v>
      </c>
      <c r="BF104" s="29"/>
      <c r="BG104" s="29">
        <v>14000000</v>
      </c>
      <c r="BH104" s="29"/>
      <c r="BI104" s="29"/>
      <c r="BJ104" s="121">
        <v>64000000</v>
      </c>
      <c r="BK104" s="92"/>
      <c r="BL104" s="92"/>
      <c r="BM104" s="92">
        <v>10000000</v>
      </c>
      <c r="BN104" s="92"/>
      <c r="BO104" s="92">
        <v>10000000</v>
      </c>
      <c r="BP104" s="92"/>
      <c r="BQ104" s="92">
        <v>10000000</v>
      </c>
      <c r="BR104" s="92">
        <v>10000000</v>
      </c>
      <c r="BS104" s="92">
        <v>10000000</v>
      </c>
      <c r="BT104" s="92"/>
      <c r="BU104" s="92">
        <v>14000000</v>
      </c>
      <c r="BV104" s="92"/>
      <c r="BW104" s="93"/>
      <c r="BX104" s="120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121"/>
      <c r="CM104" s="92"/>
      <c r="CN104" s="92"/>
      <c r="CO104" s="92"/>
      <c r="CP104" s="92"/>
      <c r="CQ104" s="92"/>
      <c r="CR104" s="92"/>
      <c r="CS104" s="92"/>
      <c r="CT104" s="92"/>
      <c r="CU104" s="92"/>
      <c r="CV104" s="92"/>
      <c r="CW104" s="92"/>
      <c r="CX104" s="92"/>
      <c r="CY104" s="93"/>
    </row>
    <row r="105" spans="1:103" s="32" customFormat="1" ht="19.5" customHeight="1">
      <c r="A105" s="41">
        <v>35</v>
      </c>
      <c r="B105" s="123" t="s">
        <v>123</v>
      </c>
      <c r="C105" s="61"/>
      <c r="D105" s="77"/>
      <c r="E105" s="77"/>
      <c r="F105" s="28">
        <v>3837000000</v>
      </c>
      <c r="G105" s="117">
        <v>68750000</v>
      </c>
      <c r="H105" s="117">
        <v>68750000</v>
      </c>
      <c r="I105" s="117">
        <v>68750000</v>
      </c>
      <c r="J105" s="117">
        <v>68750000</v>
      </c>
      <c r="K105" s="117">
        <v>80750000</v>
      </c>
      <c r="L105" s="117">
        <v>68750000</v>
      </c>
      <c r="M105" s="117">
        <v>68750000</v>
      </c>
      <c r="N105" s="117">
        <v>68750000</v>
      </c>
      <c r="O105" s="117">
        <v>68750000</v>
      </c>
      <c r="P105" s="117">
        <v>68750000</v>
      </c>
      <c r="Q105" s="117">
        <v>3068750000</v>
      </c>
      <c r="R105" s="117">
        <v>68750000</v>
      </c>
      <c r="S105" s="117">
        <v>825000000</v>
      </c>
      <c r="T105" s="28">
        <v>1505000000.0000002</v>
      </c>
      <c r="U105" s="117">
        <v>125416666.66666667</v>
      </c>
      <c r="V105" s="117">
        <v>125416666.66666667</v>
      </c>
      <c r="W105" s="117">
        <v>125416666.66666667</v>
      </c>
      <c r="X105" s="117">
        <v>125416666.66666667</v>
      </c>
      <c r="Y105" s="117">
        <v>125416666.66666667</v>
      </c>
      <c r="Z105" s="117">
        <v>125416666.66666667</v>
      </c>
      <c r="AA105" s="117">
        <v>125416666.66666667</v>
      </c>
      <c r="AB105" s="117">
        <v>125416666.66666667</v>
      </c>
      <c r="AC105" s="117">
        <v>125416666.66666667</v>
      </c>
      <c r="AD105" s="117">
        <v>125416666.66666667</v>
      </c>
      <c r="AE105" s="117">
        <v>125416666.66666667</v>
      </c>
      <c r="AF105" s="117">
        <v>125416666.66666667</v>
      </c>
      <c r="AG105" s="118"/>
      <c r="AH105" s="28">
        <v>3189648148</v>
      </c>
      <c r="AI105" s="117">
        <v>10898148</v>
      </c>
      <c r="AJ105" s="117">
        <v>0</v>
      </c>
      <c r="AK105" s="117">
        <v>20000000</v>
      </c>
      <c r="AL105" s="117">
        <v>0</v>
      </c>
      <c r="AM105" s="117">
        <v>0</v>
      </c>
      <c r="AN105" s="117">
        <v>0</v>
      </c>
      <c r="AO105" s="117">
        <v>0</v>
      </c>
      <c r="AP105" s="117">
        <v>0</v>
      </c>
      <c r="AQ105" s="117">
        <v>90000000</v>
      </c>
      <c r="AR105" s="117">
        <v>0</v>
      </c>
      <c r="AS105" s="117">
        <v>3000000000</v>
      </c>
      <c r="AT105" s="117">
        <v>68750000</v>
      </c>
      <c r="AU105" s="119"/>
      <c r="AV105" s="28">
        <v>4344249992</v>
      </c>
      <c r="AW105" s="117">
        <v>115416666</v>
      </c>
      <c r="AX105" s="117">
        <v>120416666</v>
      </c>
      <c r="AY105" s="117">
        <v>115416666</v>
      </c>
      <c r="AZ105" s="117">
        <v>120416666</v>
      </c>
      <c r="BA105" s="117">
        <v>115416666</v>
      </c>
      <c r="BB105" s="117">
        <v>120416666</v>
      </c>
      <c r="BC105" s="117">
        <v>120416666</v>
      </c>
      <c r="BD105" s="117">
        <v>115416666</v>
      </c>
      <c r="BE105" s="117">
        <v>115416666</v>
      </c>
      <c r="BF105" s="117">
        <v>120416666</v>
      </c>
      <c r="BG105" s="117">
        <v>3118416666</v>
      </c>
      <c r="BH105" s="117">
        <v>46666666</v>
      </c>
      <c r="BI105" s="117"/>
      <c r="BJ105" s="28">
        <v>4344249992</v>
      </c>
      <c r="BK105" s="117">
        <v>115416666</v>
      </c>
      <c r="BL105" s="117">
        <v>120416666</v>
      </c>
      <c r="BM105" s="117">
        <v>115416666</v>
      </c>
      <c r="BN105" s="117">
        <v>120416666</v>
      </c>
      <c r="BO105" s="117">
        <v>115416666</v>
      </c>
      <c r="BP105" s="117">
        <v>120416666</v>
      </c>
      <c r="BQ105" s="117">
        <v>120416666</v>
      </c>
      <c r="BR105" s="117">
        <v>115416666</v>
      </c>
      <c r="BS105" s="117">
        <v>115416666</v>
      </c>
      <c r="BT105" s="117">
        <v>120416666</v>
      </c>
      <c r="BU105" s="117">
        <v>3118416666</v>
      </c>
      <c r="BV105" s="117">
        <v>46666666</v>
      </c>
      <c r="BW105" s="118"/>
      <c r="BX105" s="28"/>
      <c r="BY105" s="117"/>
      <c r="BZ105" s="117"/>
      <c r="CA105" s="117"/>
      <c r="CB105" s="117"/>
      <c r="CC105" s="117"/>
      <c r="CD105" s="117"/>
      <c r="CE105" s="117"/>
      <c r="CF105" s="117"/>
      <c r="CG105" s="117"/>
      <c r="CH105" s="117"/>
      <c r="CI105" s="117"/>
      <c r="CJ105" s="117"/>
      <c r="CK105" s="117"/>
      <c r="CL105" s="28"/>
      <c r="CM105" s="117"/>
      <c r="CN105" s="117"/>
      <c r="CO105" s="117"/>
      <c r="CP105" s="117"/>
      <c r="CQ105" s="117"/>
      <c r="CR105" s="117"/>
      <c r="CS105" s="117"/>
      <c r="CT105" s="117"/>
      <c r="CU105" s="117"/>
      <c r="CV105" s="117"/>
      <c r="CW105" s="117"/>
      <c r="CX105" s="117"/>
      <c r="CY105" s="118"/>
    </row>
    <row r="106" spans="1:103" s="71" customFormat="1" ht="19.5" customHeight="1" outlineLevel="1">
      <c r="A106" s="62"/>
      <c r="B106" s="123" t="s">
        <v>123</v>
      </c>
      <c r="C106" s="63" t="s">
        <v>124</v>
      </c>
      <c r="D106" s="65"/>
      <c r="E106" s="65" t="s">
        <v>124</v>
      </c>
      <c r="F106" s="66">
        <v>825000000</v>
      </c>
      <c r="G106" s="234">
        <v>68750000</v>
      </c>
      <c r="H106" s="68">
        <v>68750000</v>
      </c>
      <c r="I106" s="68">
        <v>68750000</v>
      </c>
      <c r="J106" s="68">
        <v>68750000</v>
      </c>
      <c r="K106" s="68">
        <v>68750000</v>
      </c>
      <c r="L106" s="68">
        <v>68750000</v>
      </c>
      <c r="M106" s="66">
        <v>68750000</v>
      </c>
      <c r="N106" s="66">
        <v>68750000</v>
      </c>
      <c r="O106" s="66">
        <v>68750000</v>
      </c>
      <c r="P106" s="68">
        <v>68750000</v>
      </c>
      <c r="Q106" s="68">
        <v>68750000</v>
      </c>
      <c r="R106" s="68">
        <v>68750000</v>
      </c>
      <c r="S106" s="68">
        <v>825000000</v>
      </c>
      <c r="T106" s="66">
        <v>825000000</v>
      </c>
      <c r="U106" s="68">
        <v>68750000</v>
      </c>
      <c r="V106" s="68">
        <v>68750000</v>
      </c>
      <c r="W106" s="68">
        <v>68750000</v>
      </c>
      <c r="X106" s="68">
        <v>68750000</v>
      </c>
      <c r="Y106" s="68">
        <v>68750000</v>
      </c>
      <c r="Z106" s="68">
        <v>68750000</v>
      </c>
      <c r="AA106" s="68">
        <v>68750000</v>
      </c>
      <c r="AB106" s="68">
        <v>68750000</v>
      </c>
      <c r="AC106" s="68">
        <v>68750000</v>
      </c>
      <c r="AD106" s="68">
        <v>68750000</v>
      </c>
      <c r="AE106" s="68">
        <v>68750000</v>
      </c>
      <c r="AF106" s="68">
        <v>68750000</v>
      </c>
      <c r="AG106" s="72" t="s">
        <v>49</v>
      </c>
      <c r="AH106" s="66">
        <v>68750000</v>
      </c>
      <c r="AI106" s="68">
        <v>0</v>
      </c>
      <c r="AJ106" s="68">
        <v>0</v>
      </c>
      <c r="AK106" s="68">
        <v>0</v>
      </c>
      <c r="AL106" s="68">
        <v>0</v>
      </c>
      <c r="AM106" s="68">
        <v>0</v>
      </c>
      <c r="AN106" s="68">
        <v>0</v>
      </c>
      <c r="AO106" s="68">
        <v>0</v>
      </c>
      <c r="AP106" s="68">
        <v>0</v>
      </c>
      <c r="AQ106" s="68">
        <v>0</v>
      </c>
      <c r="AR106" s="68">
        <v>0</v>
      </c>
      <c r="AS106" s="68">
        <v>0</v>
      </c>
      <c r="AT106" s="68">
        <v>68750000</v>
      </c>
      <c r="AU106" s="70"/>
      <c r="AV106" s="66">
        <v>756250000</v>
      </c>
      <c r="AW106" s="234">
        <v>68750000</v>
      </c>
      <c r="AX106" s="68">
        <v>68750000</v>
      </c>
      <c r="AY106" s="68">
        <v>68750000</v>
      </c>
      <c r="AZ106" s="68">
        <v>68750000</v>
      </c>
      <c r="BA106" s="68">
        <v>68750000</v>
      </c>
      <c r="BB106" s="68">
        <v>68750000</v>
      </c>
      <c r="BC106" s="66">
        <v>68750000</v>
      </c>
      <c r="BD106" s="66">
        <v>68750000</v>
      </c>
      <c r="BE106" s="66">
        <v>68750000</v>
      </c>
      <c r="BF106" s="68">
        <v>68750000</v>
      </c>
      <c r="BG106" s="68">
        <v>68750000</v>
      </c>
      <c r="BH106" s="68">
        <v>0</v>
      </c>
      <c r="BI106" s="68"/>
      <c r="BJ106" s="66">
        <v>756250000</v>
      </c>
      <c r="BK106" s="68">
        <v>68750000</v>
      </c>
      <c r="BL106" s="68">
        <v>68750000</v>
      </c>
      <c r="BM106" s="68">
        <v>68750000</v>
      </c>
      <c r="BN106" s="68">
        <v>68750000</v>
      </c>
      <c r="BO106" s="68">
        <v>68750000</v>
      </c>
      <c r="BP106" s="68">
        <v>68750000</v>
      </c>
      <c r="BQ106" s="68">
        <v>68750000</v>
      </c>
      <c r="BR106" s="68">
        <v>68750000</v>
      </c>
      <c r="BS106" s="68">
        <v>68750000</v>
      </c>
      <c r="BT106" s="68">
        <v>68750000</v>
      </c>
      <c r="BU106" s="68">
        <v>68750000</v>
      </c>
      <c r="BV106" s="68">
        <v>0</v>
      </c>
      <c r="BW106" s="72"/>
      <c r="BX106" s="66"/>
      <c r="BY106" s="234"/>
      <c r="BZ106" s="68"/>
      <c r="CA106" s="68"/>
      <c r="CB106" s="68"/>
      <c r="CC106" s="68"/>
      <c r="CD106" s="68"/>
      <c r="CE106" s="66"/>
      <c r="CF106" s="66"/>
      <c r="CG106" s="66"/>
      <c r="CH106" s="68"/>
      <c r="CI106" s="68"/>
      <c r="CJ106" s="68"/>
      <c r="CK106" s="68"/>
      <c r="CL106" s="66"/>
      <c r="CM106" s="68"/>
      <c r="CN106" s="68"/>
      <c r="CO106" s="68"/>
      <c r="CP106" s="68"/>
      <c r="CQ106" s="68"/>
      <c r="CR106" s="68"/>
      <c r="CS106" s="68"/>
      <c r="CT106" s="68"/>
      <c r="CU106" s="68"/>
      <c r="CV106" s="68"/>
      <c r="CW106" s="68"/>
      <c r="CX106" s="68"/>
      <c r="CY106" s="72"/>
    </row>
    <row r="107" spans="1:103" s="40" customFormat="1" ht="28.5" customHeight="1" outlineLevel="1">
      <c r="A107" s="41"/>
      <c r="B107" s="123" t="s">
        <v>123</v>
      </c>
      <c r="C107" s="73" t="s">
        <v>125</v>
      </c>
      <c r="D107" s="75"/>
      <c r="E107" s="102" t="str">
        <f>C107</f>
        <v>Chi phí viết + đăng bài PR trên báo chí hàng tháng</v>
      </c>
      <c r="F107" s="36">
        <v>0</v>
      </c>
      <c r="G107" s="29">
        <v>0</v>
      </c>
      <c r="H107" s="29">
        <v>0</v>
      </c>
      <c r="I107" s="29">
        <v>0</v>
      </c>
      <c r="J107" s="29">
        <v>0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0</v>
      </c>
      <c r="T107" s="36">
        <v>480000000</v>
      </c>
      <c r="U107" s="37">
        <v>40000000</v>
      </c>
      <c r="V107" s="37">
        <v>40000000</v>
      </c>
      <c r="W107" s="37">
        <v>40000000</v>
      </c>
      <c r="X107" s="37">
        <v>40000000</v>
      </c>
      <c r="Y107" s="37">
        <v>40000000</v>
      </c>
      <c r="Z107" s="37">
        <v>40000000</v>
      </c>
      <c r="AA107" s="37">
        <v>40000000</v>
      </c>
      <c r="AB107" s="37">
        <v>40000000</v>
      </c>
      <c r="AC107" s="37">
        <v>40000000</v>
      </c>
      <c r="AD107" s="37">
        <v>40000000</v>
      </c>
      <c r="AE107" s="37">
        <v>40000000</v>
      </c>
      <c r="AF107" s="37">
        <v>40000000</v>
      </c>
      <c r="AG107" s="93"/>
      <c r="AH107" s="36">
        <v>0</v>
      </c>
      <c r="AI107" s="37">
        <v>0</v>
      </c>
      <c r="AJ107" s="37">
        <v>0</v>
      </c>
      <c r="AK107" s="37">
        <v>0</v>
      </c>
      <c r="AL107" s="37">
        <v>0</v>
      </c>
      <c r="AM107" s="37">
        <v>0</v>
      </c>
      <c r="AN107" s="37">
        <v>0</v>
      </c>
      <c r="AO107" s="37">
        <v>0</v>
      </c>
      <c r="AP107" s="37">
        <v>0</v>
      </c>
      <c r="AQ107" s="37">
        <v>0</v>
      </c>
      <c r="AR107" s="37">
        <v>0</v>
      </c>
      <c r="AS107" s="37">
        <v>0</v>
      </c>
      <c r="AT107" s="37">
        <v>0</v>
      </c>
      <c r="AU107" s="39"/>
      <c r="AV107" s="36">
        <v>380000000</v>
      </c>
      <c r="AW107" s="29">
        <v>30000000</v>
      </c>
      <c r="AX107" s="29">
        <v>35000000</v>
      </c>
      <c r="AY107" s="29">
        <v>30000000</v>
      </c>
      <c r="AZ107" s="29">
        <v>35000000</v>
      </c>
      <c r="BA107" s="29">
        <v>30000000</v>
      </c>
      <c r="BB107" s="29">
        <v>30000000</v>
      </c>
      <c r="BC107" s="29">
        <v>35000000</v>
      </c>
      <c r="BD107" s="29">
        <v>30000000</v>
      </c>
      <c r="BE107" s="29">
        <v>30000000</v>
      </c>
      <c r="BF107" s="29">
        <v>35000000</v>
      </c>
      <c r="BG107" s="29">
        <v>30000000</v>
      </c>
      <c r="BH107" s="29">
        <v>30000000</v>
      </c>
      <c r="BI107" s="29"/>
      <c r="BJ107" s="36">
        <v>380000000</v>
      </c>
      <c r="BK107" s="37">
        <v>30000000</v>
      </c>
      <c r="BL107" s="37">
        <v>35000000</v>
      </c>
      <c r="BM107" s="37">
        <v>30000000</v>
      </c>
      <c r="BN107" s="37">
        <v>35000000</v>
      </c>
      <c r="BO107" s="37">
        <v>30000000</v>
      </c>
      <c r="BP107" s="37">
        <v>30000000</v>
      </c>
      <c r="BQ107" s="37">
        <v>35000000</v>
      </c>
      <c r="BR107" s="37">
        <v>30000000</v>
      </c>
      <c r="BS107" s="37">
        <v>30000000</v>
      </c>
      <c r="BT107" s="37">
        <v>35000000</v>
      </c>
      <c r="BU107" s="37">
        <v>30000000</v>
      </c>
      <c r="BV107" s="37">
        <v>30000000</v>
      </c>
      <c r="BW107" s="93"/>
      <c r="BX107" s="36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36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93"/>
    </row>
    <row r="108" spans="1:103" s="40" customFormat="1" ht="19.5" customHeight="1" outlineLevel="1">
      <c r="A108" s="41"/>
      <c r="B108" s="123" t="s">
        <v>123</v>
      </c>
      <c r="C108" s="109" t="s">
        <v>126</v>
      </c>
      <c r="D108" s="75"/>
      <c r="E108" s="110" t="s">
        <v>126</v>
      </c>
      <c r="F108" s="36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36">
        <v>199999999.99999997</v>
      </c>
      <c r="U108" s="37">
        <v>16666666.666666666</v>
      </c>
      <c r="V108" s="37">
        <v>16666666.666666666</v>
      </c>
      <c r="W108" s="37">
        <v>16666666.666666666</v>
      </c>
      <c r="X108" s="37">
        <v>16666666.666666666</v>
      </c>
      <c r="Y108" s="37">
        <v>16666666.666666666</v>
      </c>
      <c r="Z108" s="37">
        <v>16666666.666666666</v>
      </c>
      <c r="AA108" s="37">
        <v>16666666.666666666</v>
      </c>
      <c r="AB108" s="37">
        <v>16666666.666666666</v>
      </c>
      <c r="AC108" s="37">
        <v>16666666.666666666</v>
      </c>
      <c r="AD108" s="37">
        <v>16666666.666666666</v>
      </c>
      <c r="AE108" s="37">
        <v>16666666.666666666</v>
      </c>
      <c r="AF108" s="37">
        <v>16666666.666666666</v>
      </c>
      <c r="AG108" s="93"/>
      <c r="AH108" s="36">
        <v>0</v>
      </c>
      <c r="AI108" s="37">
        <v>0</v>
      </c>
      <c r="AJ108" s="37">
        <v>0</v>
      </c>
      <c r="AK108" s="37">
        <v>0</v>
      </c>
      <c r="AL108" s="37">
        <v>0</v>
      </c>
      <c r="AM108" s="37">
        <v>0</v>
      </c>
      <c r="AN108" s="37">
        <v>0</v>
      </c>
      <c r="AO108" s="37">
        <v>0</v>
      </c>
      <c r="AP108" s="37">
        <v>0</v>
      </c>
      <c r="AQ108" s="37">
        <v>0</v>
      </c>
      <c r="AR108" s="37">
        <v>0</v>
      </c>
      <c r="AS108" s="37">
        <v>0</v>
      </c>
      <c r="AT108" s="37">
        <v>0</v>
      </c>
      <c r="AU108" s="39"/>
      <c r="AV108" s="36">
        <v>199999992</v>
      </c>
      <c r="AW108" s="29">
        <v>16666666</v>
      </c>
      <c r="AX108" s="29">
        <v>16666666</v>
      </c>
      <c r="AY108" s="29">
        <v>16666666</v>
      </c>
      <c r="AZ108" s="29">
        <v>16666666</v>
      </c>
      <c r="BA108" s="29">
        <v>16666666</v>
      </c>
      <c r="BB108" s="29">
        <v>16666666</v>
      </c>
      <c r="BC108" s="29">
        <v>16666666</v>
      </c>
      <c r="BD108" s="29">
        <v>16666666</v>
      </c>
      <c r="BE108" s="29">
        <v>16666666</v>
      </c>
      <c r="BF108" s="29">
        <v>16666666</v>
      </c>
      <c r="BG108" s="29">
        <v>16666666</v>
      </c>
      <c r="BH108" s="29">
        <v>16666666</v>
      </c>
      <c r="BI108" s="29"/>
      <c r="BJ108" s="36">
        <v>199999992</v>
      </c>
      <c r="BK108" s="37">
        <v>16666666</v>
      </c>
      <c r="BL108" s="37">
        <v>16666666</v>
      </c>
      <c r="BM108" s="37">
        <v>16666666</v>
      </c>
      <c r="BN108" s="37">
        <v>16666666</v>
      </c>
      <c r="BO108" s="37">
        <v>16666666</v>
      </c>
      <c r="BP108" s="37">
        <v>16666666</v>
      </c>
      <c r="BQ108" s="37">
        <v>16666666</v>
      </c>
      <c r="BR108" s="37">
        <v>16666666</v>
      </c>
      <c r="BS108" s="37">
        <v>16666666</v>
      </c>
      <c r="BT108" s="37">
        <v>16666666</v>
      </c>
      <c r="BU108" s="37">
        <v>16666666</v>
      </c>
      <c r="BV108" s="37">
        <v>16666666</v>
      </c>
      <c r="BW108" s="93"/>
      <c r="BX108" s="36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36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93"/>
    </row>
    <row r="109" spans="1:103" s="40" customFormat="1" ht="19.5" customHeight="1" outlineLevel="1">
      <c r="A109" s="41"/>
      <c r="B109" s="123" t="s">
        <v>123</v>
      </c>
      <c r="C109" s="73" t="s">
        <v>127</v>
      </c>
      <c r="D109" s="75"/>
      <c r="E109" s="75" t="s">
        <v>127</v>
      </c>
      <c r="F109" s="36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36">
        <v>0</v>
      </c>
      <c r="U109" s="92">
        <v>0</v>
      </c>
      <c r="V109" s="92">
        <v>0</v>
      </c>
      <c r="W109" s="92">
        <v>0</v>
      </c>
      <c r="X109" s="92">
        <v>0</v>
      </c>
      <c r="Y109" s="92">
        <v>0</v>
      </c>
      <c r="Z109" s="92">
        <v>0</v>
      </c>
      <c r="AA109" s="92">
        <v>0</v>
      </c>
      <c r="AB109" s="92">
        <v>0</v>
      </c>
      <c r="AC109" s="92">
        <v>0</v>
      </c>
      <c r="AD109" s="92">
        <v>0</v>
      </c>
      <c r="AE109" s="92">
        <v>0</v>
      </c>
      <c r="AF109" s="92">
        <v>0</v>
      </c>
      <c r="AG109" s="93"/>
      <c r="AH109" s="36">
        <v>120898148</v>
      </c>
      <c r="AI109" s="92">
        <v>10898148</v>
      </c>
      <c r="AJ109" s="92">
        <v>0</v>
      </c>
      <c r="AK109" s="92">
        <v>20000000</v>
      </c>
      <c r="AL109" s="92">
        <v>0</v>
      </c>
      <c r="AM109" s="92">
        <v>0</v>
      </c>
      <c r="AN109" s="92">
        <v>0</v>
      </c>
      <c r="AO109" s="92">
        <v>0</v>
      </c>
      <c r="AP109" s="92">
        <v>0</v>
      </c>
      <c r="AQ109" s="92">
        <v>90000000</v>
      </c>
      <c r="AR109" s="92">
        <v>0</v>
      </c>
      <c r="AS109" s="92">
        <v>0</v>
      </c>
      <c r="AT109" s="92">
        <v>0</v>
      </c>
      <c r="AU109" s="94"/>
      <c r="AV109" s="36">
        <v>0</v>
      </c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36">
        <v>0</v>
      </c>
      <c r="BK109" s="92"/>
      <c r="BL109" s="92"/>
      <c r="BM109" s="92"/>
      <c r="BN109" s="92"/>
      <c r="BO109" s="92"/>
      <c r="BP109" s="92"/>
      <c r="BQ109" s="92"/>
      <c r="BR109" s="92"/>
      <c r="BS109" s="92"/>
      <c r="BT109" s="92"/>
      <c r="BU109" s="92"/>
      <c r="BV109" s="92"/>
      <c r="BW109" s="93"/>
      <c r="BX109" s="36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36"/>
      <c r="CM109" s="92"/>
      <c r="CN109" s="92"/>
      <c r="CO109" s="92"/>
      <c r="CP109" s="92"/>
      <c r="CQ109" s="92"/>
      <c r="CR109" s="92"/>
      <c r="CS109" s="92"/>
      <c r="CT109" s="92"/>
      <c r="CU109" s="92"/>
      <c r="CV109" s="92"/>
      <c r="CW109" s="92"/>
      <c r="CX109" s="92"/>
      <c r="CY109" s="93"/>
    </row>
    <row r="110" spans="1:103" s="40" customFormat="1" ht="19.5" customHeight="1" outlineLevel="1">
      <c r="A110" s="41"/>
      <c r="B110" s="123" t="s">
        <v>123</v>
      </c>
      <c r="C110" s="73"/>
      <c r="D110" s="75"/>
      <c r="E110" s="75" t="s">
        <v>398</v>
      </c>
      <c r="F110" s="36">
        <v>12000000</v>
      </c>
      <c r="G110" s="29"/>
      <c r="H110" s="29"/>
      <c r="I110" s="29"/>
      <c r="J110" s="29"/>
      <c r="K110" s="29">
        <v>12000000</v>
      </c>
      <c r="L110" s="29">
        <v>0</v>
      </c>
      <c r="M110" s="29">
        <v>0</v>
      </c>
      <c r="N110" s="29">
        <v>0</v>
      </c>
      <c r="O110" s="29">
        <v>0</v>
      </c>
      <c r="P110" s="219">
        <v>0</v>
      </c>
      <c r="Q110" s="219">
        <v>0</v>
      </c>
      <c r="R110" s="219">
        <v>0</v>
      </c>
      <c r="S110" s="219"/>
      <c r="T110" s="218">
        <v>0</v>
      </c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0"/>
      <c r="AE110" s="220"/>
      <c r="AF110" s="220"/>
      <c r="AG110" s="221"/>
      <c r="AH110" s="218"/>
      <c r="AI110" s="220"/>
      <c r="AJ110" s="220"/>
      <c r="AK110" s="220"/>
      <c r="AL110" s="220"/>
      <c r="AM110" s="220"/>
      <c r="AN110" s="220"/>
      <c r="AO110" s="220"/>
      <c r="AP110" s="220"/>
      <c r="AQ110" s="220"/>
      <c r="AR110" s="220"/>
      <c r="AS110" s="220"/>
      <c r="AT110" s="220"/>
      <c r="AU110" s="222"/>
      <c r="AV110" s="218">
        <v>8000000</v>
      </c>
      <c r="AW110" s="29"/>
      <c r="AX110" s="29"/>
      <c r="AY110" s="29"/>
      <c r="AZ110" s="29"/>
      <c r="BA110" s="29"/>
      <c r="BB110" s="29">
        <v>5000000</v>
      </c>
      <c r="BC110" s="29"/>
      <c r="BD110" s="29"/>
      <c r="BE110" s="29"/>
      <c r="BF110" s="219"/>
      <c r="BG110" s="219">
        <v>3000000</v>
      </c>
      <c r="BH110" s="219"/>
      <c r="BI110" s="219"/>
      <c r="BJ110" s="218">
        <v>8000000</v>
      </c>
      <c r="BK110" s="220"/>
      <c r="BL110" s="220"/>
      <c r="BM110" s="220"/>
      <c r="BN110" s="220"/>
      <c r="BO110" s="220"/>
      <c r="BP110" s="220">
        <v>5000000</v>
      </c>
      <c r="BQ110" s="220"/>
      <c r="BR110" s="220"/>
      <c r="BS110" s="220"/>
      <c r="BT110" s="220"/>
      <c r="BU110" s="220">
        <v>3000000</v>
      </c>
      <c r="BV110" s="220"/>
      <c r="BW110" s="221"/>
      <c r="BX110" s="218"/>
      <c r="BY110" s="29"/>
      <c r="BZ110" s="29"/>
      <c r="CA110" s="29"/>
      <c r="CB110" s="29"/>
      <c r="CC110" s="29"/>
      <c r="CD110" s="29"/>
      <c r="CE110" s="29"/>
      <c r="CF110" s="29"/>
      <c r="CG110" s="29"/>
      <c r="CH110" s="219"/>
      <c r="CI110" s="219"/>
      <c r="CJ110" s="219"/>
      <c r="CK110" s="219"/>
      <c r="CL110" s="218"/>
      <c r="CM110" s="220"/>
      <c r="CN110" s="220"/>
      <c r="CO110" s="220"/>
      <c r="CP110" s="220"/>
      <c r="CQ110" s="220"/>
      <c r="CR110" s="220"/>
      <c r="CS110" s="220"/>
      <c r="CT110" s="220"/>
      <c r="CU110" s="220"/>
      <c r="CV110" s="220"/>
      <c r="CW110" s="220"/>
      <c r="CX110" s="220"/>
      <c r="CY110" s="221"/>
    </row>
    <row r="111" spans="1:103" s="40" customFormat="1" ht="19.5" customHeight="1" outlineLevel="1">
      <c r="A111" s="41"/>
      <c r="B111" s="123" t="s">
        <v>123</v>
      </c>
      <c r="C111" s="124" t="s">
        <v>128</v>
      </c>
      <c r="D111" s="75"/>
      <c r="E111" s="125" t="s">
        <v>128</v>
      </c>
      <c r="F111" s="36">
        <v>3000000000</v>
      </c>
      <c r="G111" s="29">
        <v>0</v>
      </c>
      <c r="H111" s="29">
        <v>0</v>
      </c>
      <c r="I111" s="29">
        <v>0</v>
      </c>
      <c r="J111" s="29">
        <v>0</v>
      </c>
      <c r="K111" s="29">
        <v>0</v>
      </c>
      <c r="L111" s="29">
        <v>0</v>
      </c>
      <c r="M111" s="29">
        <v>0</v>
      </c>
      <c r="N111" s="29">
        <v>0</v>
      </c>
      <c r="O111" s="29">
        <v>0</v>
      </c>
      <c r="P111" s="29">
        <v>0</v>
      </c>
      <c r="Q111" s="29">
        <v>3000000000</v>
      </c>
      <c r="R111" s="29">
        <v>0</v>
      </c>
      <c r="S111" s="29">
        <v>0</v>
      </c>
      <c r="T111" s="36">
        <v>0</v>
      </c>
      <c r="U111" s="92">
        <v>0</v>
      </c>
      <c r="V111" s="92">
        <v>0</v>
      </c>
      <c r="W111" s="92">
        <v>0</v>
      </c>
      <c r="X111" s="92">
        <v>0</v>
      </c>
      <c r="Y111" s="92">
        <v>0</v>
      </c>
      <c r="Z111" s="92">
        <v>0</v>
      </c>
      <c r="AA111" s="92">
        <v>0</v>
      </c>
      <c r="AB111" s="92">
        <v>0</v>
      </c>
      <c r="AC111" s="92">
        <v>0</v>
      </c>
      <c r="AD111" s="92">
        <v>0</v>
      </c>
      <c r="AE111" s="92">
        <v>0</v>
      </c>
      <c r="AF111" s="92">
        <v>0</v>
      </c>
      <c r="AG111" s="93"/>
      <c r="AH111" s="36">
        <v>3000000000</v>
      </c>
      <c r="AI111" s="92">
        <v>0</v>
      </c>
      <c r="AJ111" s="92">
        <v>0</v>
      </c>
      <c r="AK111" s="92">
        <v>0</v>
      </c>
      <c r="AL111" s="92">
        <v>0</v>
      </c>
      <c r="AM111" s="92">
        <v>0</v>
      </c>
      <c r="AN111" s="92">
        <v>0</v>
      </c>
      <c r="AO111" s="92">
        <v>0</v>
      </c>
      <c r="AP111" s="92">
        <v>0</v>
      </c>
      <c r="AQ111" s="92">
        <v>0</v>
      </c>
      <c r="AR111" s="92">
        <v>0</v>
      </c>
      <c r="AS111" s="92">
        <v>3000000000</v>
      </c>
      <c r="AT111" s="92">
        <v>0</v>
      </c>
      <c r="AU111" s="94"/>
      <c r="AV111" s="36">
        <v>3000000000</v>
      </c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>
        <v>3000000000</v>
      </c>
      <c r="BH111" s="29"/>
      <c r="BI111" s="29"/>
      <c r="BJ111" s="36">
        <v>3000000000</v>
      </c>
      <c r="BK111" s="92"/>
      <c r="BL111" s="92"/>
      <c r="BM111" s="92"/>
      <c r="BN111" s="92"/>
      <c r="BO111" s="92"/>
      <c r="BP111" s="92"/>
      <c r="BQ111" s="92"/>
      <c r="BR111" s="92"/>
      <c r="BS111" s="92"/>
      <c r="BT111" s="92"/>
      <c r="BU111" s="92">
        <v>3000000000</v>
      </c>
      <c r="BV111" s="92"/>
      <c r="BW111" s="93"/>
      <c r="BX111" s="36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36"/>
      <c r="CM111" s="92"/>
      <c r="CN111" s="92"/>
      <c r="CO111" s="92"/>
      <c r="CP111" s="92"/>
      <c r="CQ111" s="92"/>
      <c r="CR111" s="92"/>
      <c r="CS111" s="92"/>
      <c r="CT111" s="92"/>
      <c r="CU111" s="92"/>
      <c r="CV111" s="92"/>
      <c r="CW111" s="92"/>
      <c r="CX111" s="92"/>
      <c r="CY111" s="93"/>
    </row>
    <row r="112" spans="1:103" s="32" customFormat="1" ht="19.5" customHeight="1">
      <c r="A112" s="41">
        <v>36</v>
      </c>
      <c r="B112" s="55" t="s">
        <v>129</v>
      </c>
      <c r="C112" s="61"/>
      <c r="D112" s="77"/>
      <c r="E112" s="77"/>
      <c r="F112" s="28">
        <v>1337269077</v>
      </c>
      <c r="G112" s="117">
        <v>0</v>
      </c>
      <c r="H112" s="117">
        <v>0</v>
      </c>
      <c r="I112" s="117">
        <v>400000000</v>
      </c>
      <c r="J112" s="117">
        <v>0</v>
      </c>
      <c r="K112" s="117">
        <v>0</v>
      </c>
      <c r="L112" s="117">
        <v>533918077</v>
      </c>
      <c r="M112" s="117">
        <v>0</v>
      </c>
      <c r="N112" s="117">
        <v>0</v>
      </c>
      <c r="O112" s="117">
        <v>203351000</v>
      </c>
      <c r="P112" s="117">
        <v>0</v>
      </c>
      <c r="Q112" s="117">
        <v>200000000</v>
      </c>
      <c r="R112" s="117">
        <v>0</v>
      </c>
      <c r="S112" s="117">
        <v>0</v>
      </c>
      <c r="T112" s="28">
        <v>1641524000</v>
      </c>
      <c r="U112" s="117">
        <v>0</v>
      </c>
      <c r="V112" s="117">
        <v>0</v>
      </c>
      <c r="W112" s="117">
        <v>410000000</v>
      </c>
      <c r="X112" s="117">
        <v>0</v>
      </c>
      <c r="Y112" s="117">
        <v>0</v>
      </c>
      <c r="Z112" s="117">
        <v>410000000</v>
      </c>
      <c r="AA112" s="117">
        <v>0</v>
      </c>
      <c r="AB112" s="117">
        <v>0</v>
      </c>
      <c r="AC112" s="117">
        <v>411524000</v>
      </c>
      <c r="AD112" s="117">
        <v>0</v>
      </c>
      <c r="AE112" s="117">
        <v>0</v>
      </c>
      <c r="AF112" s="117">
        <v>410000000</v>
      </c>
      <c r="AG112" s="118"/>
      <c r="AH112" s="28">
        <v>5892489106</v>
      </c>
      <c r="AI112" s="117">
        <v>578703704</v>
      </c>
      <c r="AJ112" s="117">
        <v>578703704</v>
      </c>
      <c r="AK112" s="117">
        <v>597685185</v>
      </c>
      <c r="AL112" s="117">
        <v>578703704</v>
      </c>
      <c r="AM112" s="117">
        <v>578703704</v>
      </c>
      <c r="AN112" s="117">
        <v>981763704</v>
      </c>
      <c r="AO112" s="117">
        <v>597538704</v>
      </c>
      <c r="AP112" s="117">
        <v>578703697</v>
      </c>
      <c r="AQ112" s="117">
        <v>401524000</v>
      </c>
      <c r="AR112" s="117">
        <v>0</v>
      </c>
      <c r="AS112" s="117">
        <v>0</v>
      </c>
      <c r="AT112" s="117">
        <v>420459000</v>
      </c>
      <c r="AU112" s="119"/>
      <c r="AV112" s="28">
        <v>920000000</v>
      </c>
      <c r="AW112" s="117">
        <v>10000000</v>
      </c>
      <c r="AX112" s="117">
        <v>10000000</v>
      </c>
      <c r="AY112" s="117">
        <v>210000000</v>
      </c>
      <c r="AZ112" s="117">
        <v>10000000</v>
      </c>
      <c r="BA112" s="117">
        <v>10000000</v>
      </c>
      <c r="BB112" s="117">
        <v>210000000</v>
      </c>
      <c r="BC112" s="117">
        <v>10000000</v>
      </c>
      <c r="BD112" s="117">
        <v>10000000</v>
      </c>
      <c r="BE112" s="117">
        <v>210000000</v>
      </c>
      <c r="BF112" s="117">
        <v>10000000</v>
      </c>
      <c r="BG112" s="117">
        <v>10000000</v>
      </c>
      <c r="BH112" s="117">
        <v>210000000</v>
      </c>
      <c r="BI112" s="117"/>
      <c r="BJ112" s="28">
        <v>920000000</v>
      </c>
      <c r="BK112" s="117">
        <v>10000000</v>
      </c>
      <c r="BL112" s="117">
        <v>10000000</v>
      </c>
      <c r="BM112" s="117">
        <v>210000000</v>
      </c>
      <c r="BN112" s="117">
        <v>10000000</v>
      </c>
      <c r="BO112" s="117">
        <v>10000000</v>
      </c>
      <c r="BP112" s="117">
        <v>210000000</v>
      </c>
      <c r="BQ112" s="117">
        <v>10000000</v>
      </c>
      <c r="BR112" s="117">
        <v>10000000</v>
      </c>
      <c r="BS112" s="117">
        <v>210000000</v>
      </c>
      <c r="BT112" s="117">
        <v>10000000</v>
      </c>
      <c r="BU112" s="117">
        <v>10000000</v>
      </c>
      <c r="BV112" s="117">
        <v>210000000</v>
      </c>
      <c r="BW112" s="118"/>
      <c r="BX112" s="28"/>
      <c r="BY112" s="117"/>
      <c r="BZ112" s="117"/>
      <c r="CA112" s="117"/>
      <c r="CB112" s="117"/>
      <c r="CC112" s="117"/>
      <c r="CD112" s="117"/>
      <c r="CE112" s="117"/>
      <c r="CF112" s="117"/>
      <c r="CG112" s="117"/>
      <c r="CH112" s="117"/>
      <c r="CI112" s="117"/>
      <c r="CJ112" s="117"/>
      <c r="CK112" s="117"/>
      <c r="CL112" s="28"/>
      <c r="CM112" s="117"/>
      <c r="CN112" s="117"/>
      <c r="CO112" s="117"/>
      <c r="CP112" s="117"/>
      <c r="CQ112" s="117"/>
      <c r="CR112" s="117"/>
      <c r="CS112" s="117"/>
      <c r="CT112" s="117"/>
      <c r="CU112" s="117"/>
      <c r="CV112" s="117"/>
      <c r="CW112" s="117"/>
      <c r="CX112" s="117"/>
      <c r="CY112" s="118"/>
    </row>
    <row r="113" spans="1:103" s="40" customFormat="1" ht="19.5" customHeight="1" outlineLevel="1">
      <c r="A113" s="41"/>
      <c r="B113" s="55" t="s">
        <v>129</v>
      </c>
      <c r="C113" s="109" t="s">
        <v>130</v>
      </c>
      <c r="D113" s="75"/>
      <c r="E113" s="110" t="s">
        <v>130</v>
      </c>
      <c r="F113" s="36">
        <v>3351000</v>
      </c>
      <c r="G113" s="29">
        <v>0</v>
      </c>
      <c r="H113" s="29">
        <v>0</v>
      </c>
      <c r="I113" s="29">
        <v>0</v>
      </c>
      <c r="J113" s="29">
        <v>0</v>
      </c>
      <c r="K113" s="29">
        <v>0</v>
      </c>
      <c r="L113" s="29">
        <v>0</v>
      </c>
      <c r="M113" s="29">
        <v>0</v>
      </c>
      <c r="N113" s="29">
        <v>0</v>
      </c>
      <c r="O113" s="29">
        <v>3351000</v>
      </c>
      <c r="P113" s="29">
        <v>0</v>
      </c>
      <c r="Q113" s="29">
        <v>0</v>
      </c>
      <c r="R113" s="29">
        <v>0</v>
      </c>
      <c r="S113" s="29">
        <v>0</v>
      </c>
      <c r="T113" s="36">
        <v>1524000</v>
      </c>
      <c r="U113" s="92">
        <v>0</v>
      </c>
      <c r="V113" s="92">
        <v>0</v>
      </c>
      <c r="W113" s="92">
        <v>0</v>
      </c>
      <c r="X113" s="92">
        <v>0</v>
      </c>
      <c r="Y113" s="92">
        <v>0</v>
      </c>
      <c r="Z113" s="92">
        <v>0</v>
      </c>
      <c r="AA113" s="92">
        <v>0</v>
      </c>
      <c r="AB113" s="92">
        <v>0</v>
      </c>
      <c r="AC113" s="92">
        <v>1524000</v>
      </c>
      <c r="AD113" s="92">
        <v>0</v>
      </c>
      <c r="AE113" s="92">
        <v>0</v>
      </c>
      <c r="AF113" s="92">
        <v>0</v>
      </c>
      <c r="AG113" s="93"/>
      <c r="AH113" s="36">
        <v>1524000</v>
      </c>
      <c r="AI113" s="92">
        <v>0</v>
      </c>
      <c r="AJ113" s="92">
        <v>0</v>
      </c>
      <c r="AK113" s="92">
        <v>0</v>
      </c>
      <c r="AL113" s="92">
        <v>0</v>
      </c>
      <c r="AM113" s="92">
        <v>0</v>
      </c>
      <c r="AN113" s="92">
        <v>0</v>
      </c>
      <c r="AO113" s="92">
        <v>0</v>
      </c>
      <c r="AP113" s="92">
        <v>0</v>
      </c>
      <c r="AQ113" s="92">
        <v>1524000</v>
      </c>
      <c r="AR113" s="92">
        <v>0</v>
      </c>
      <c r="AS113" s="92">
        <v>0</v>
      </c>
      <c r="AT113" s="92">
        <v>0</v>
      </c>
      <c r="AU113" s="94"/>
      <c r="AV113" s="36">
        <v>0</v>
      </c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36">
        <v>0</v>
      </c>
      <c r="BK113" s="92"/>
      <c r="BL113" s="92"/>
      <c r="BM113" s="92"/>
      <c r="BN113" s="92"/>
      <c r="BO113" s="92"/>
      <c r="BP113" s="92"/>
      <c r="BQ113" s="92"/>
      <c r="BR113" s="92"/>
      <c r="BS113" s="92"/>
      <c r="BT113" s="92"/>
      <c r="BU113" s="92"/>
      <c r="BV113" s="92"/>
      <c r="BW113" s="93"/>
      <c r="BX113" s="36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36"/>
      <c r="CM113" s="92"/>
      <c r="CN113" s="92"/>
      <c r="CO113" s="92"/>
      <c r="CP113" s="92"/>
      <c r="CQ113" s="92"/>
      <c r="CR113" s="92"/>
      <c r="CS113" s="92"/>
      <c r="CT113" s="92"/>
      <c r="CU113" s="92"/>
      <c r="CV113" s="92"/>
      <c r="CW113" s="92"/>
      <c r="CX113" s="92"/>
      <c r="CY113" s="93"/>
    </row>
    <row r="114" spans="1:103" s="40" customFormat="1" ht="19.5" customHeight="1" outlineLevel="1">
      <c r="A114" s="41"/>
      <c r="B114" s="55" t="s">
        <v>129</v>
      </c>
      <c r="C114" s="101" t="s">
        <v>131</v>
      </c>
      <c r="D114" s="75"/>
      <c r="E114" s="102" t="s">
        <v>131</v>
      </c>
      <c r="F114" s="36">
        <v>1200000000</v>
      </c>
      <c r="G114" s="29">
        <v>0</v>
      </c>
      <c r="H114" s="29">
        <v>0</v>
      </c>
      <c r="I114" s="29">
        <v>400000000</v>
      </c>
      <c r="J114" s="29">
        <v>0</v>
      </c>
      <c r="K114" s="29">
        <v>0</v>
      </c>
      <c r="L114" s="29">
        <v>400000000</v>
      </c>
      <c r="M114" s="29">
        <v>0</v>
      </c>
      <c r="N114" s="29">
        <v>0</v>
      </c>
      <c r="O114" s="29">
        <v>200000000</v>
      </c>
      <c r="P114" s="29">
        <v>0</v>
      </c>
      <c r="Q114" s="29">
        <v>200000000</v>
      </c>
      <c r="R114" s="29">
        <v>0</v>
      </c>
      <c r="S114" s="29">
        <v>0</v>
      </c>
      <c r="T114" s="36">
        <v>1600000000</v>
      </c>
      <c r="U114" s="92">
        <v>0</v>
      </c>
      <c r="V114" s="92">
        <v>0</v>
      </c>
      <c r="W114" s="92">
        <v>400000000</v>
      </c>
      <c r="X114" s="92">
        <v>0</v>
      </c>
      <c r="Y114" s="92">
        <v>0</v>
      </c>
      <c r="Z114" s="92">
        <v>400000000</v>
      </c>
      <c r="AA114" s="92">
        <v>0</v>
      </c>
      <c r="AB114" s="92">
        <v>0</v>
      </c>
      <c r="AC114" s="92">
        <v>400000000</v>
      </c>
      <c r="AD114" s="92">
        <v>0</v>
      </c>
      <c r="AE114" s="92">
        <v>0</v>
      </c>
      <c r="AF114" s="92">
        <v>400000000</v>
      </c>
      <c r="AG114" s="93"/>
      <c r="AH114" s="36">
        <v>1200000000</v>
      </c>
      <c r="AI114" s="92">
        <v>0</v>
      </c>
      <c r="AJ114" s="92">
        <v>0</v>
      </c>
      <c r="AK114" s="92">
        <v>0</v>
      </c>
      <c r="AL114" s="92">
        <v>0</v>
      </c>
      <c r="AM114" s="92">
        <v>0</v>
      </c>
      <c r="AN114" s="92">
        <v>400000000</v>
      </c>
      <c r="AO114" s="92">
        <v>0</v>
      </c>
      <c r="AP114" s="92">
        <v>0</v>
      </c>
      <c r="AQ114" s="92">
        <v>400000000</v>
      </c>
      <c r="AR114" s="92">
        <v>0</v>
      </c>
      <c r="AS114" s="92">
        <v>0</v>
      </c>
      <c r="AT114" s="92">
        <v>400000000</v>
      </c>
      <c r="AU114" s="94"/>
      <c r="AV114" s="36">
        <v>800000000</v>
      </c>
      <c r="AW114" s="29"/>
      <c r="AX114" s="29"/>
      <c r="AY114" s="29">
        <v>200000000</v>
      </c>
      <c r="AZ114" s="29"/>
      <c r="BA114" s="29"/>
      <c r="BB114" s="29">
        <v>200000000</v>
      </c>
      <c r="BC114" s="29"/>
      <c r="BD114" s="29"/>
      <c r="BE114" s="29">
        <v>200000000</v>
      </c>
      <c r="BF114" s="29"/>
      <c r="BG114" s="29"/>
      <c r="BH114" s="29">
        <v>200000000</v>
      </c>
      <c r="BI114" s="29"/>
      <c r="BJ114" s="36">
        <v>800000000</v>
      </c>
      <c r="BK114" s="92"/>
      <c r="BL114" s="92"/>
      <c r="BM114" s="92">
        <v>200000000</v>
      </c>
      <c r="BN114" s="92"/>
      <c r="BO114" s="92"/>
      <c r="BP114" s="92">
        <v>200000000</v>
      </c>
      <c r="BQ114" s="92"/>
      <c r="BR114" s="92"/>
      <c r="BS114" s="92">
        <v>200000000</v>
      </c>
      <c r="BT114" s="92"/>
      <c r="BU114" s="92"/>
      <c r="BV114" s="92">
        <v>200000000</v>
      </c>
      <c r="BW114" s="93"/>
      <c r="BX114" s="36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36"/>
      <c r="CM114" s="92"/>
      <c r="CN114" s="92"/>
      <c r="CO114" s="92"/>
      <c r="CP114" s="92"/>
      <c r="CQ114" s="92"/>
      <c r="CR114" s="92"/>
      <c r="CS114" s="92"/>
      <c r="CT114" s="92"/>
      <c r="CU114" s="92"/>
      <c r="CV114" s="92"/>
      <c r="CW114" s="92"/>
      <c r="CX114" s="92"/>
      <c r="CY114" s="93"/>
    </row>
    <row r="115" spans="1:103" s="40" customFormat="1" ht="19.5" customHeight="1" outlineLevel="1">
      <c r="A115" s="41"/>
      <c r="B115" s="55" t="s">
        <v>129</v>
      </c>
      <c r="C115" s="109" t="s">
        <v>132</v>
      </c>
      <c r="D115" s="75"/>
      <c r="E115" s="110" t="s">
        <v>132</v>
      </c>
      <c r="F115" s="36">
        <v>0</v>
      </c>
      <c r="G115" s="230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36">
        <v>0</v>
      </c>
      <c r="U115" s="37">
        <v>0</v>
      </c>
      <c r="V115" s="37">
        <v>0</v>
      </c>
      <c r="W115" s="37">
        <v>0</v>
      </c>
      <c r="X115" s="37">
        <v>0</v>
      </c>
      <c r="Y115" s="37">
        <v>0</v>
      </c>
      <c r="Z115" s="37">
        <v>0</v>
      </c>
      <c r="AA115" s="37">
        <v>0</v>
      </c>
      <c r="AB115" s="37">
        <v>0</v>
      </c>
      <c r="AC115" s="37">
        <v>0</v>
      </c>
      <c r="AD115" s="37">
        <v>0</v>
      </c>
      <c r="AE115" s="37">
        <v>0</v>
      </c>
      <c r="AF115" s="37">
        <v>0</v>
      </c>
      <c r="AG115" s="126" t="s">
        <v>49</v>
      </c>
      <c r="AH115" s="36">
        <v>4629629625</v>
      </c>
      <c r="AI115" s="37">
        <v>578703704</v>
      </c>
      <c r="AJ115" s="37">
        <v>578703704</v>
      </c>
      <c r="AK115" s="37">
        <v>578703704</v>
      </c>
      <c r="AL115" s="37">
        <v>578703704</v>
      </c>
      <c r="AM115" s="37">
        <v>578703704</v>
      </c>
      <c r="AN115" s="37">
        <v>578703704</v>
      </c>
      <c r="AO115" s="37">
        <v>578703704</v>
      </c>
      <c r="AP115" s="37">
        <v>578703697</v>
      </c>
      <c r="AQ115" s="37">
        <v>0</v>
      </c>
      <c r="AR115" s="37">
        <v>0</v>
      </c>
      <c r="AS115" s="37">
        <v>0</v>
      </c>
      <c r="AT115" s="37">
        <v>0</v>
      </c>
      <c r="AU115" s="39"/>
      <c r="AV115" s="36">
        <v>0</v>
      </c>
      <c r="AW115" s="230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36">
        <v>0</v>
      </c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126"/>
      <c r="BX115" s="36"/>
      <c r="BY115" s="230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36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126"/>
    </row>
    <row r="116" spans="1:103" s="40" customFormat="1" ht="19.5" customHeight="1" outlineLevel="1">
      <c r="A116" s="41"/>
      <c r="B116" s="55" t="s">
        <v>129</v>
      </c>
      <c r="C116" s="109" t="s">
        <v>133</v>
      </c>
      <c r="D116" s="75"/>
      <c r="E116" s="110" t="s">
        <v>133</v>
      </c>
      <c r="F116" s="36">
        <v>133918077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133918077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36">
        <v>40000000</v>
      </c>
      <c r="U116" s="37">
        <v>0</v>
      </c>
      <c r="V116" s="37">
        <v>0</v>
      </c>
      <c r="W116" s="37">
        <v>10000000</v>
      </c>
      <c r="X116" s="37">
        <v>0</v>
      </c>
      <c r="Y116" s="37">
        <v>0</v>
      </c>
      <c r="Z116" s="37">
        <v>10000000</v>
      </c>
      <c r="AA116" s="37">
        <v>0</v>
      </c>
      <c r="AB116" s="37">
        <v>0</v>
      </c>
      <c r="AC116" s="37">
        <v>10000000</v>
      </c>
      <c r="AD116" s="37">
        <v>0</v>
      </c>
      <c r="AE116" s="37">
        <v>0</v>
      </c>
      <c r="AF116" s="37">
        <v>10000000</v>
      </c>
      <c r="AG116" s="38"/>
      <c r="AH116" s="36">
        <v>42354000</v>
      </c>
      <c r="AI116" s="37">
        <v>0</v>
      </c>
      <c r="AJ116" s="37">
        <v>0</v>
      </c>
      <c r="AK116" s="37">
        <v>0</v>
      </c>
      <c r="AL116" s="37">
        <v>0</v>
      </c>
      <c r="AM116" s="37">
        <v>0</v>
      </c>
      <c r="AN116" s="37">
        <v>3060000</v>
      </c>
      <c r="AO116" s="37">
        <v>18835000</v>
      </c>
      <c r="AP116" s="37">
        <v>0</v>
      </c>
      <c r="AQ116" s="37">
        <v>0</v>
      </c>
      <c r="AR116" s="37">
        <v>0</v>
      </c>
      <c r="AS116" s="37">
        <v>0</v>
      </c>
      <c r="AT116" s="37">
        <v>20459000</v>
      </c>
      <c r="AU116" s="39"/>
      <c r="AV116" s="36">
        <v>120000000</v>
      </c>
      <c r="AW116" s="29">
        <v>10000000</v>
      </c>
      <c r="AX116" s="29">
        <v>10000000</v>
      </c>
      <c r="AY116" s="29">
        <v>10000000</v>
      </c>
      <c r="AZ116" s="29">
        <v>10000000</v>
      </c>
      <c r="BA116" s="29">
        <v>10000000</v>
      </c>
      <c r="BB116" s="29">
        <v>10000000</v>
      </c>
      <c r="BC116" s="29">
        <v>10000000</v>
      </c>
      <c r="BD116" s="29">
        <v>10000000</v>
      </c>
      <c r="BE116" s="29">
        <v>10000000</v>
      </c>
      <c r="BF116" s="29">
        <v>10000000</v>
      </c>
      <c r="BG116" s="29">
        <v>10000000</v>
      </c>
      <c r="BH116" s="29">
        <v>10000000</v>
      </c>
      <c r="BI116" s="29"/>
      <c r="BJ116" s="36">
        <v>120000000</v>
      </c>
      <c r="BK116" s="37">
        <v>10000000</v>
      </c>
      <c r="BL116" s="37">
        <v>10000000</v>
      </c>
      <c r="BM116" s="37">
        <v>10000000</v>
      </c>
      <c r="BN116" s="37">
        <v>10000000</v>
      </c>
      <c r="BO116" s="37">
        <v>10000000</v>
      </c>
      <c r="BP116" s="37">
        <v>10000000</v>
      </c>
      <c r="BQ116" s="37">
        <v>10000000</v>
      </c>
      <c r="BR116" s="37">
        <v>10000000</v>
      </c>
      <c r="BS116" s="37">
        <v>10000000</v>
      </c>
      <c r="BT116" s="37">
        <v>10000000</v>
      </c>
      <c r="BU116" s="37">
        <v>10000000</v>
      </c>
      <c r="BV116" s="37">
        <v>10000000</v>
      </c>
      <c r="BW116" s="38"/>
      <c r="BX116" s="36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36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8"/>
    </row>
    <row r="117" spans="1:103" s="40" customFormat="1" ht="19.5" customHeight="1" outlineLevel="1">
      <c r="A117" s="41"/>
      <c r="B117" s="55" t="s">
        <v>129</v>
      </c>
      <c r="C117" s="109" t="s">
        <v>134</v>
      </c>
      <c r="D117" s="75"/>
      <c r="E117" s="110" t="s">
        <v>134</v>
      </c>
      <c r="F117" s="36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36">
        <v>0</v>
      </c>
      <c r="U117" s="92">
        <v>0</v>
      </c>
      <c r="V117" s="92">
        <v>0</v>
      </c>
      <c r="W117" s="92">
        <v>0</v>
      </c>
      <c r="X117" s="92">
        <v>0</v>
      </c>
      <c r="Y117" s="92">
        <v>0</v>
      </c>
      <c r="Z117" s="92">
        <v>0</v>
      </c>
      <c r="AA117" s="92">
        <v>0</v>
      </c>
      <c r="AB117" s="92">
        <v>0</v>
      </c>
      <c r="AC117" s="92">
        <v>0</v>
      </c>
      <c r="AD117" s="92">
        <v>0</v>
      </c>
      <c r="AE117" s="92">
        <v>0</v>
      </c>
      <c r="AF117" s="92">
        <v>0</v>
      </c>
      <c r="AG117" s="93"/>
      <c r="AH117" s="36">
        <v>18981481</v>
      </c>
      <c r="AI117" s="92">
        <v>0</v>
      </c>
      <c r="AJ117" s="92">
        <v>0</v>
      </c>
      <c r="AK117" s="92">
        <v>18981481</v>
      </c>
      <c r="AL117" s="92">
        <v>0</v>
      </c>
      <c r="AM117" s="92">
        <v>0</v>
      </c>
      <c r="AN117" s="92">
        <v>0</v>
      </c>
      <c r="AO117" s="92">
        <v>0</v>
      </c>
      <c r="AP117" s="92">
        <v>0</v>
      </c>
      <c r="AQ117" s="92">
        <v>0</v>
      </c>
      <c r="AR117" s="92">
        <v>0</v>
      </c>
      <c r="AS117" s="92">
        <v>0</v>
      </c>
      <c r="AT117" s="92">
        <v>0</v>
      </c>
      <c r="AU117" s="94"/>
      <c r="AV117" s="36">
        <v>0</v>
      </c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36">
        <v>0</v>
      </c>
      <c r="BK117" s="92"/>
      <c r="BL117" s="92"/>
      <c r="BM117" s="92"/>
      <c r="BN117" s="92"/>
      <c r="BO117" s="92"/>
      <c r="BP117" s="92"/>
      <c r="BQ117" s="92"/>
      <c r="BR117" s="92"/>
      <c r="BS117" s="92"/>
      <c r="BT117" s="92"/>
      <c r="BU117" s="92"/>
      <c r="BV117" s="92"/>
      <c r="BW117" s="93"/>
      <c r="BX117" s="36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36"/>
      <c r="CM117" s="92"/>
      <c r="CN117" s="92"/>
      <c r="CO117" s="92"/>
      <c r="CP117" s="92"/>
      <c r="CQ117" s="92"/>
      <c r="CR117" s="92"/>
      <c r="CS117" s="92"/>
      <c r="CT117" s="92"/>
      <c r="CU117" s="92"/>
      <c r="CV117" s="92"/>
      <c r="CW117" s="92"/>
      <c r="CX117" s="92"/>
      <c r="CY117" s="93"/>
    </row>
    <row r="118" spans="1:103" s="32" customFormat="1" ht="19.5" customHeight="1">
      <c r="A118" s="41">
        <v>54</v>
      </c>
      <c r="B118" s="107" t="s">
        <v>135</v>
      </c>
      <c r="C118" s="61"/>
      <c r="D118" s="77"/>
      <c r="E118" s="127" t="s">
        <v>135</v>
      </c>
      <c r="F118" s="28">
        <v>0</v>
      </c>
      <c r="G118" s="232">
        <v>0</v>
      </c>
      <c r="H118" s="232">
        <v>0</v>
      </c>
      <c r="I118" s="232">
        <v>0</v>
      </c>
      <c r="J118" s="232">
        <v>0</v>
      </c>
      <c r="K118" s="232">
        <v>0</v>
      </c>
      <c r="L118" s="232">
        <v>0</v>
      </c>
      <c r="M118" s="232">
        <v>0</v>
      </c>
      <c r="N118" s="232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8">
        <v>0</v>
      </c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8"/>
      <c r="AH118" s="28">
        <v>39544527</v>
      </c>
      <c r="AI118" s="117">
        <v>6692727</v>
      </c>
      <c r="AJ118" s="117">
        <v>6692727</v>
      </c>
      <c r="AK118" s="117">
        <v>6692727</v>
      </c>
      <c r="AL118" s="117">
        <v>0</v>
      </c>
      <c r="AM118" s="117">
        <v>11557372</v>
      </c>
      <c r="AN118" s="117">
        <v>1970182</v>
      </c>
      <c r="AO118" s="117">
        <v>1970182</v>
      </c>
      <c r="AP118" s="117">
        <v>1970182</v>
      </c>
      <c r="AQ118" s="117">
        <v>1970182</v>
      </c>
      <c r="AR118" s="117">
        <v>28246</v>
      </c>
      <c r="AS118" s="117">
        <v>0</v>
      </c>
      <c r="AT118" s="117">
        <v>0</v>
      </c>
      <c r="AU118" s="119"/>
      <c r="AV118" s="28">
        <v>0</v>
      </c>
      <c r="AW118" s="232"/>
      <c r="AX118" s="232"/>
      <c r="AY118" s="232"/>
      <c r="AZ118" s="232"/>
      <c r="BA118" s="232"/>
      <c r="BB118" s="232"/>
      <c r="BC118" s="232"/>
      <c r="BD118" s="232"/>
      <c r="BE118" s="29"/>
      <c r="BF118" s="29"/>
      <c r="BG118" s="29"/>
      <c r="BH118" s="29"/>
      <c r="BI118" s="29"/>
      <c r="BJ118" s="28">
        <v>0</v>
      </c>
      <c r="BK118" s="117"/>
      <c r="BL118" s="117"/>
      <c r="BM118" s="117"/>
      <c r="BN118" s="117"/>
      <c r="BO118" s="117"/>
      <c r="BP118" s="117"/>
      <c r="BQ118" s="117"/>
      <c r="BR118" s="117"/>
      <c r="BS118" s="117"/>
      <c r="BT118" s="117"/>
      <c r="BU118" s="117"/>
      <c r="BV118" s="117"/>
      <c r="BW118" s="118"/>
      <c r="BX118" s="28"/>
      <c r="BY118" s="232"/>
      <c r="BZ118" s="232"/>
      <c r="CA118" s="232"/>
      <c r="CB118" s="232"/>
      <c r="CC118" s="232"/>
      <c r="CD118" s="232"/>
      <c r="CE118" s="232"/>
      <c r="CF118" s="232"/>
      <c r="CG118" s="29"/>
      <c r="CH118" s="29"/>
      <c r="CI118" s="29"/>
      <c r="CJ118" s="29"/>
      <c r="CK118" s="29"/>
      <c r="CL118" s="28"/>
      <c r="CM118" s="117"/>
      <c r="CN118" s="117"/>
      <c r="CO118" s="117"/>
      <c r="CP118" s="117"/>
      <c r="CQ118" s="117"/>
      <c r="CR118" s="117"/>
      <c r="CS118" s="117"/>
      <c r="CT118" s="117"/>
      <c r="CU118" s="117"/>
      <c r="CV118" s="117"/>
      <c r="CW118" s="117"/>
      <c r="CX118" s="117"/>
      <c r="CY118" s="118"/>
    </row>
    <row r="119" spans="1:103" s="32" customFormat="1" ht="19.5" customHeight="1">
      <c r="A119" s="41">
        <v>55</v>
      </c>
      <c r="B119" s="107" t="s">
        <v>136</v>
      </c>
      <c r="C119" s="61"/>
      <c r="D119" s="77"/>
      <c r="E119" s="127" t="s">
        <v>136</v>
      </c>
      <c r="F119" s="28">
        <v>11422880</v>
      </c>
      <c r="G119" s="232">
        <v>0</v>
      </c>
      <c r="H119" s="232">
        <v>0</v>
      </c>
      <c r="I119" s="232">
        <v>4000000</v>
      </c>
      <c r="J119" s="232">
        <v>1000000</v>
      </c>
      <c r="K119" s="232">
        <v>0</v>
      </c>
      <c r="L119" s="232">
        <v>0</v>
      </c>
      <c r="M119" s="232">
        <v>0</v>
      </c>
      <c r="N119" s="232">
        <v>3422880</v>
      </c>
      <c r="O119" s="29">
        <v>0</v>
      </c>
      <c r="P119" s="29">
        <v>0</v>
      </c>
      <c r="Q119" s="29">
        <v>0</v>
      </c>
      <c r="R119" s="29">
        <v>3000000</v>
      </c>
      <c r="S119" s="29">
        <v>0</v>
      </c>
      <c r="T119" s="28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8"/>
      <c r="AH119" s="28">
        <v>2600000</v>
      </c>
      <c r="AI119" s="117">
        <v>0</v>
      </c>
      <c r="AJ119" s="117">
        <v>0</v>
      </c>
      <c r="AK119" s="117">
        <v>0</v>
      </c>
      <c r="AL119" s="117">
        <v>0</v>
      </c>
      <c r="AM119" s="117">
        <v>0</v>
      </c>
      <c r="AN119" s="117">
        <v>0</v>
      </c>
      <c r="AO119" s="117">
        <v>0</v>
      </c>
      <c r="AP119" s="117">
        <v>0</v>
      </c>
      <c r="AQ119" s="117">
        <v>2000000</v>
      </c>
      <c r="AR119" s="117">
        <v>0</v>
      </c>
      <c r="AS119" s="117">
        <v>0</v>
      </c>
      <c r="AT119" s="117">
        <v>600000</v>
      </c>
      <c r="AU119" s="119">
        <v>0</v>
      </c>
      <c r="AV119" s="28">
        <v>0</v>
      </c>
      <c r="AW119" s="232"/>
      <c r="AX119" s="232"/>
      <c r="AY119" s="232"/>
      <c r="AZ119" s="232"/>
      <c r="BA119" s="232"/>
      <c r="BB119" s="232"/>
      <c r="BC119" s="232"/>
      <c r="BD119" s="232"/>
      <c r="BE119" s="29"/>
      <c r="BF119" s="29"/>
      <c r="BG119" s="29"/>
      <c r="BH119" s="29"/>
      <c r="BI119" s="29"/>
      <c r="BJ119" s="28">
        <v>0</v>
      </c>
      <c r="BK119" s="117"/>
      <c r="BL119" s="117"/>
      <c r="BM119" s="117"/>
      <c r="BN119" s="117"/>
      <c r="BO119" s="117"/>
      <c r="BP119" s="117"/>
      <c r="BQ119" s="117"/>
      <c r="BR119" s="117"/>
      <c r="BS119" s="117"/>
      <c r="BT119" s="117"/>
      <c r="BU119" s="117"/>
      <c r="BV119" s="117"/>
      <c r="BW119" s="118"/>
      <c r="BX119" s="28"/>
      <c r="BY119" s="232"/>
      <c r="BZ119" s="232"/>
      <c r="CA119" s="232"/>
      <c r="CB119" s="232"/>
      <c r="CC119" s="232"/>
      <c r="CD119" s="232"/>
      <c r="CE119" s="232"/>
      <c r="CF119" s="232"/>
      <c r="CG119" s="29"/>
      <c r="CH119" s="29"/>
      <c r="CI119" s="29"/>
      <c r="CJ119" s="29"/>
      <c r="CK119" s="29"/>
      <c r="CL119" s="28"/>
      <c r="CM119" s="117"/>
      <c r="CN119" s="117"/>
      <c r="CO119" s="117"/>
      <c r="CP119" s="117"/>
      <c r="CQ119" s="117"/>
      <c r="CR119" s="117"/>
      <c r="CS119" s="117"/>
      <c r="CT119" s="117"/>
      <c r="CU119" s="117"/>
      <c r="CV119" s="117"/>
      <c r="CW119" s="117"/>
      <c r="CX119" s="117"/>
      <c r="CY119" s="118"/>
    </row>
  </sheetData>
  <autoFilter ref="A2:AU119" xr:uid="{00000000-0009-0000-0000-000001000000}"/>
  <mergeCells count="7">
    <mergeCell ref="BJ1:BV1"/>
    <mergeCell ref="BX1:CK1"/>
    <mergeCell ref="CL1:CX1"/>
    <mergeCell ref="F1:S1"/>
    <mergeCell ref="T1:AF1"/>
    <mergeCell ref="AH1:AT1"/>
    <mergeCell ref="AV1:BI1"/>
  </mergeCells>
  <conditionalFormatting sqref="A1:A1048576">
    <cfRule type="duplicateValues" dxfId="4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DG37"/>
  <sheetViews>
    <sheetView zoomScale="85" zoomScaleNormal="85" workbookViewId="0">
      <pane xSplit="1" ySplit="1" topLeftCell="I7" activePane="bottomRight" state="frozen"/>
      <selection pane="topRight" activeCell="B1" sqref="B1"/>
      <selection pane="bottomLeft" activeCell="A2" sqref="A2"/>
      <selection pane="bottomRight" activeCell="R26" sqref="R26:R37"/>
    </sheetView>
  </sheetViews>
  <sheetFormatPr defaultRowHeight="14.5"/>
  <cols>
    <col min="1" max="1" width="17.54296875" customWidth="1"/>
    <col min="2" max="2" width="16.1796875" customWidth="1"/>
    <col min="3" max="4" width="15.7265625" bestFit="1" customWidth="1"/>
    <col min="5" max="5" width="16.54296875" customWidth="1"/>
    <col min="6" max="6" width="13.81640625" bestFit="1" customWidth="1"/>
    <col min="7" max="7" width="14.81640625" bestFit="1" customWidth="1"/>
    <col min="8" max="8" width="16.453125" bestFit="1" customWidth="1"/>
    <col min="9" max="9" width="12.1796875" bestFit="1" customWidth="1"/>
    <col min="10" max="10" width="14.54296875" bestFit="1" customWidth="1"/>
    <col min="11" max="11" width="15.453125" bestFit="1" customWidth="1"/>
    <col min="12" max="12" width="15.81640625" bestFit="1" customWidth="1"/>
    <col min="13" max="13" width="12.1796875" bestFit="1" customWidth="1"/>
    <col min="14" max="14" width="15.81640625" bestFit="1" customWidth="1"/>
    <col min="15" max="15" width="15.453125" bestFit="1" customWidth="1"/>
    <col min="17" max="17" width="8" bestFit="1" customWidth="1"/>
    <col min="18" max="18" width="16.26953125" bestFit="1" customWidth="1"/>
  </cols>
  <sheetData>
    <row r="1" spans="1:18" s="209" customFormat="1" ht="86.5" customHeight="1">
      <c r="B1" s="209" t="s">
        <v>153</v>
      </c>
      <c r="C1" s="209" t="s">
        <v>164</v>
      </c>
      <c r="D1" s="209" t="s">
        <v>169</v>
      </c>
      <c r="E1" s="209" t="s">
        <v>170</v>
      </c>
      <c r="F1" s="209" t="s">
        <v>180</v>
      </c>
      <c r="G1" s="209" t="s">
        <v>189</v>
      </c>
      <c r="H1" s="209" t="s">
        <v>201</v>
      </c>
      <c r="I1" s="209" t="s">
        <v>218</v>
      </c>
      <c r="J1" s="209" t="s">
        <v>6</v>
      </c>
      <c r="K1" s="209" t="s">
        <v>225</v>
      </c>
      <c r="L1" s="209" t="s">
        <v>226</v>
      </c>
      <c r="M1" s="209" t="s">
        <v>227</v>
      </c>
      <c r="N1" s="209" t="s">
        <v>228</v>
      </c>
      <c r="O1" s="209" t="s">
        <v>229</v>
      </c>
      <c r="P1" s="209" t="s">
        <v>230</v>
      </c>
      <c r="Q1" s="209" t="s">
        <v>231</v>
      </c>
      <c r="R1" s="209" t="s">
        <v>232</v>
      </c>
    </row>
    <row r="2" spans="1:18">
      <c r="A2" t="s">
        <v>280</v>
      </c>
      <c r="B2" s="208">
        <v>8625085726</v>
      </c>
      <c r="C2" s="208">
        <v>0</v>
      </c>
      <c r="D2" s="208">
        <v>8625085726</v>
      </c>
      <c r="E2" s="208">
        <v>7805180024</v>
      </c>
      <c r="F2" s="208">
        <v>819905702</v>
      </c>
      <c r="G2" s="208">
        <v>655022626</v>
      </c>
      <c r="H2" s="208">
        <v>0</v>
      </c>
      <c r="I2" s="208"/>
      <c r="J2" s="208">
        <v>2178141707</v>
      </c>
      <c r="K2" s="208">
        <v>-703213379</v>
      </c>
      <c r="L2" s="208">
        <v>0</v>
      </c>
      <c r="M2" s="208">
        <v>0</v>
      </c>
      <c r="N2" s="208">
        <v>0</v>
      </c>
      <c r="O2" s="208">
        <v>-703213379</v>
      </c>
      <c r="P2" s="208"/>
      <c r="Q2" s="208"/>
      <c r="R2" s="208">
        <v>-703213379</v>
      </c>
    </row>
    <row r="3" spans="1:18">
      <c r="A3" t="s">
        <v>281</v>
      </c>
      <c r="B3" s="208">
        <v>3123216088</v>
      </c>
      <c r="C3" s="208">
        <v>0</v>
      </c>
      <c r="D3" s="208">
        <v>3123216088</v>
      </c>
      <c r="E3" s="208">
        <v>2838392433</v>
      </c>
      <c r="F3" s="208">
        <v>284823655</v>
      </c>
      <c r="G3" s="208">
        <v>569001286</v>
      </c>
      <c r="H3" s="208">
        <v>0</v>
      </c>
      <c r="I3" s="208"/>
      <c r="J3" s="208">
        <v>2077787709</v>
      </c>
      <c r="K3" s="208">
        <v>-1223962768</v>
      </c>
      <c r="L3" s="208">
        <v>0</v>
      </c>
      <c r="M3" s="208">
        <v>226080</v>
      </c>
      <c r="N3" s="208">
        <v>-226080</v>
      </c>
      <c r="O3" s="208">
        <v>-1224188848</v>
      </c>
      <c r="P3" s="208"/>
      <c r="Q3" s="208"/>
      <c r="R3" s="208">
        <v>-1224188848</v>
      </c>
    </row>
    <row r="4" spans="1:18">
      <c r="A4" t="s">
        <v>282</v>
      </c>
      <c r="B4" s="208">
        <v>6873593666</v>
      </c>
      <c r="C4" s="208">
        <v>0</v>
      </c>
      <c r="D4" s="208">
        <v>6873593666</v>
      </c>
      <c r="E4" s="208">
        <v>6199087938</v>
      </c>
      <c r="F4" s="208">
        <v>674505728</v>
      </c>
      <c r="G4" s="208">
        <v>9443122750</v>
      </c>
      <c r="H4" s="208">
        <v>21479475899</v>
      </c>
      <c r="I4" s="208"/>
      <c r="J4" s="208">
        <v>2344941717</v>
      </c>
      <c r="K4" s="208">
        <v>-13706789138</v>
      </c>
      <c r="L4" s="208">
        <v>0</v>
      </c>
      <c r="M4" s="208">
        <v>143215</v>
      </c>
      <c r="N4" s="208">
        <v>-143215</v>
      </c>
      <c r="O4" s="208">
        <v>-13706932353</v>
      </c>
      <c r="P4" s="208"/>
      <c r="Q4" s="208"/>
      <c r="R4" s="208">
        <v>-13706932353</v>
      </c>
    </row>
    <row r="5" spans="1:18">
      <c r="A5" t="s">
        <v>283</v>
      </c>
      <c r="B5" s="208">
        <v>9452938544</v>
      </c>
      <c r="C5" s="208">
        <v>0</v>
      </c>
      <c r="D5" s="208">
        <v>9452938544</v>
      </c>
      <c r="E5" s="208">
        <v>8579413552</v>
      </c>
      <c r="F5" s="208">
        <v>873524992</v>
      </c>
      <c r="G5" s="208">
        <v>579703025</v>
      </c>
      <c r="H5" s="208">
        <v>0</v>
      </c>
      <c r="I5" s="208"/>
      <c r="J5" s="208">
        <v>1974387701</v>
      </c>
      <c r="K5" s="208">
        <v>-521159684</v>
      </c>
      <c r="L5" s="208">
        <v>0</v>
      </c>
      <c r="M5" s="208">
        <v>1521660</v>
      </c>
      <c r="N5" s="208">
        <v>-1521660</v>
      </c>
      <c r="O5" s="208">
        <v>-522681344</v>
      </c>
      <c r="P5" s="208"/>
      <c r="Q5" s="208"/>
      <c r="R5" s="208">
        <v>-522681344</v>
      </c>
    </row>
    <row r="6" spans="1:18">
      <c r="A6" t="s">
        <v>284</v>
      </c>
      <c r="B6" s="208">
        <v>12187684327</v>
      </c>
      <c r="C6" s="208">
        <v>0</v>
      </c>
      <c r="D6" s="208">
        <v>12187684327</v>
      </c>
      <c r="E6" s="208">
        <v>11070737060</v>
      </c>
      <c r="F6" s="208">
        <v>1116947267</v>
      </c>
      <c r="G6" s="208">
        <v>9888987518</v>
      </c>
      <c r="H6" s="208">
        <v>-149800000</v>
      </c>
      <c r="I6" s="208"/>
      <c r="J6" s="208">
        <v>2023326994</v>
      </c>
      <c r="K6" s="208">
        <v>9132407791</v>
      </c>
      <c r="L6" s="208">
        <v>0</v>
      </c>
      <c r="M6" s="208">
        <v>9604190</v>
      </c>
      <c r="N6" s="208">
        <v>-9604190</v>
      </c>
      <c r="O6" s="208">
        <v>9122803601</v>
      </c>
      <c r="P6" s="208"/>
      <c r="Q6" s="208"/>
      <c r="R6" s="208">
        <v>9122803601</v>
      </c>
    </row>
    <row r="7" spans="1:18">
      <c r="A7" t="s">
        <v>285</v>
      </c>
      <c r="B7" s="208">
        <v>14572553903</v>
      </c>
      <c r="C7" s="208">
        <v>0</v>
      </c>
      <c r="D7" s="208">
        <v>14572553903</v>
      </c>
      <c r="E7" s="208">
        <v>13271538977</v>
      </c>
      <c r="F7" s="208">
        <v>1301014926</v>
      </c>
      <c r="G7" s="208">
        <v>9307971703</v>
      </c>
      <c r="H7" s="208">
        <v>29978881946</v>
      </c>
      <c r="I7" s="208"/>
      <c r="J7" s="208">
        <v>2494250298</v>
      </c>
      <c r="K7" s="208">
        <v>-21864145615</v>
      </c>
      <c r="L7" s="208">
        <v>0</v>
      </c>
      <c r="M7" s="208">
        <v>0</v>
      </c>
      <c r="N7" s="208">
        <v>0</v>
      </c>
      <c r="O7" s="208">
        <v>-21864145615</v>
      </c>
      <c r="P7" s="208"/>
      <c r="Q7" s="208"/>
      <c r="R7" s="208">
        <v>-21864145615</v>
      </c>
    </row>
    <row r="8" spans="1:18">
      <c r="A8" t="s">
        <v>286</v>
      </c>
      <c r="B8" s="208">
        <v>57110446262</v>
      </c>
      <c r="C8" s="208">
        <v>0</v>
      </c>
      <c r="D8" s="208">
        <v>57110446262</v>
      </c>
      <c r="E8" s="208">
        <v>52763714267</v>
      </c>
      <c r="F8" s="208">
        <v>4346731995</v>
      </c>
      <c r="G8" s="208">
        <v>583611514</v>
      </c>
      <c r="H8" s="208">
        <v>0</v>
      </c>
      <c r="I8" s="208"/>
      <c r="J8" s="208">
        <v>2064843899</v>
      </c>
      <c r="K8" s="208">
        <v>2865499610</v>
      </c>
      <c r="L8" s="208">
        <v>0</v>
      </c>
      <c r="M8" s="208">
        <v>36</v>
      </c>
      <c r="N8" s="208">
        <v>-36</v>
      </c>
      <c r="O8" s="208">
        <v>2865499574</v>
      </c>
      <c r="P8" s="208"/>
      <c r="Q8" s="208"/>
      <c r="R8" s="208">
        <v>2865499574</v>
      </c>
    </row>
    <row r="9" spans="1:18">
      <c r="A9" t="s">
        <v>287</v>
      </c>
      <c r="B9" s="208">
        <v>81979724061</v>
      </c>
      <c r="C9" s="208">
        <v>0</v>
      </c>
      <c r="D9" s="208">
        <v>81979724061</v>
      </c>
      <c r="E9" s="208">
        <v>76245376692</v>
      </c>
      <c r="F9" s="208">
        <v>5734347369</v>
      </c>
      <c r="G9" s="208">
        <v>582732913</v>
      </c>
      <c r="H9" s="208">
        <v>0</v>
      </c>
      <c r="I9" s="208"/>
      <c r="J9" s="208">
        <v>2058769462</v>
      </c>
      <c r="K9" s="208">
        <v>4258310820</v>
      </c>
      <c r="L9" s="208">
        <v>10000000</v>
      </c>
      <c r="M9" s="208">
        <v>0</v>
      </c>
      <c r="N9" s="208">
        <v>10000000</v>
      </c>
      <c r="O9" s="208">
        <v>4268310820</v>
      </c>
      <c r="P9" s="208"/>
      <c r="Q9" s="208"/>
      <c r="R9" s="208">
        <v>4268310820</v>
      </c>
    </row>
    <row r="10" spans="1:18">
      <c r="A10" t="s">
        <v>288</v>
      </c>
      <c r="B10" s="208">
        <v>27445755387</v>
      </c>
      <c r="C10" s="208">
        <v>0</v>
      </c>
      <c r="D10" s="208">
        <v>27445755387</v>
      </c>
      <c r="E10" s="208">
        <v>25361766850</v>
      </c>
      <c r="F10" s="208">
        <v>2083988537</v>
      </c>
      <c r="G10" s="208">
        <v>9375664751</v>
      </c>
      <c r="H10" s="208">
        <v>-77686854144</v>
      </c>
      <c r="I10" s="208"/>
      <c r="J10" s="208">
        <v>1855334066</v>
      </c>
      <c r="K10" s="208">
        <v>87291173366</v>
      </c>
      <c r="L10" s="208">
        <v>0</v>
      </c>
      <c r="M10" s="208">
        <v>0</v>
      </c>
      <c r="N10" s="208">
        <v>0</v>
      </c>
      <c r="O10" s="208">
        <v>87291173366</v>
      </c>
      <c r="P10" s="208"/>
      <c r="Q10" s="208"/>
      <c r="R10" s="208">
        <v>87291173366</v>
      </c>
    </row>
    <row r="11" spans="1:18">
      <c r="A11" t="s">
        <v>289</v>
      </c>
      <c r="B11" s="208">
        <v>10025415221</v>
      </c>
      <c r="C11" s="208">
        <v>2391574</v>
      </c>
      <c r="D11" s="208">
        <v>10023023647</v>
      </c>
      <c r="E11" s="208">
        <v>9048980524</v>
      </c>
      <c r="F11" s="208">
        <v>974043123</v>
      </c>
      <c r="G11" s="208">
        <v>587563553</v>
      </c>
      <c r="H11" s="208">
        <v>77289654</v>
      </c>
      <c r="I11" s="208"/>
      <c r="J11" s="208">
        <v>1388669391</v>
      </c>
      <c r="K11" s="208">
        <v>95647631</v>
      </c>
      <c r="L11" s="208">
        <v>0</v>
      </c>
      <c r="M11" s="208">
        <v>0</v>
      </c>
      <c r="N11" s="208">
        <v>0</v>
      </c>
      <c r="O11" s="208">
        <v>95647631</v>
      </c>
      <c r="P11" s="208"/>
      <c r="Q11" s="208"/>
      <c r="R11" s="208">
        <v>95647631</v>
      </c>
    </row>
    <row r="12" spans="1:18">
      <c r="A12" t="s">
        <v>290</v>
      </c>
      <c r="B12" s="208">
        <v>8751235578</v>
      </c>
      <c r="C12" s="208">
        <v>0</v>
      </c>
      <c r="D12" s="208">
        <v>8751235578</v>
      </c>
      <c r="E12" s="208">
        <v>7907134663</v>
      </c>
      <c r="F12" s="208">
        <v>844100915</v>
      </c>
      <c r="G12" s="208">
        <v>599930515</v>
      </c>
      <c r="H12" s="208">
        <v>1533785147</v>
      </c>
      <c r="I12" s="208"/>
      <c r="J12" s="208">
        <v>4355412022</v>
      </c>
      <c r="K12" s="208">
        <v>-4445165739</v>
      </c>
      <c r="L12" s="208">
        <v>3427864</v>
      </c>
      <c r="M12" s="208">
        <v>0</v>
      </c>
      <c r="N12" s="208">
        <v>3427864</v>
      </c>
      <c r="O12" s="208">
        <v>-4441737875</v>
      </c>
      <c r="P12" s="208"/>
      <c r="Q12" s="208"/>
      <c r="R12" s="208">
        <v>-4441737875</v>
      </c>
    </row>
    <row r="13" spans="1:18">
      <c r="A13" t="s">
        <v>291</v>
      </c>
      <c r="B13" s="208">
        <v>11590372717</v>
      </c>
      <c r="C13" s="208">
        <v>0</v>
      </c>
      <c r="D13" s="208">
        <v>11590372717</v>
      </c>
      <c r="E13" s="208">
        <v>10255343316</v>
      </c>
      <c r="F13" s="208">
        <v>1335029401</v>
      </c>
      <c r="G13" s="208">
        <v>9396835156</v>
      </c>
      <c r="H13" s="208">
        <v>18348178519</v>
      </c>
      <c r="I13" s="208"/>
      <c r="J13" s="208">
        <v>2663033502</v>
      </c>
      <c r="K13" s="208">
        <v>-10279347464</v>
      </c>
      <c r="L13" s="208">
        <v>100000000000</v>
      </c>
      <c r="M13" s="208">
        <v>0</v>
      </c>
      <c r="N13" s="208">
        <v>100000000000</v>
      </c>
      <c r="O13" s="208">
        <v>89720652536</v>
      </c>
      <c r="P13" s="208"/>
      <c r="Q13" s="208"/>
      <c r="R13" s="208">
        <v>89720652536</v>
      </c>
    </row>
    <row r="14" spans="1:18">
      <c r="A14" t="s">
        <v>292</v>
      </c>
      <c r="B14" s="223">
        <f>'TỔNG HỢP'!B14</f>
        <v>13797963587</v>
      </c>
      <c r="C14" s="223">
        <f>'TỔNG HỢP'!Q14</f>
        <v>0</v>
      </c>
      <c r="D14" s="223">
        <f>'TỔNG HỢP'!V14</f>
        <v>13797963587</v>
      </c>
      <c r="E14" s="223">
        <f>'TỔNG HỢP'!W14</f>
        <v>11723079196</v>
      </c>
      <c r="F14" s="223">
        <f>'TỔNG HỢP'!AK14</f>
        <v>2074884391</v>
      </c>
      <c r="G14" s="223">
        <f>'TỔNG HỢP'!AT14</f>
        <v>625973700</v>
      </c>
      <c r="H14" s="223">
        <f>'TỔNG HỢP'!BH14</f>
        <v>0</v>
      </c>
      <c r="I14" s="223">
        <f>'TỔNG HỢP'!BY14</f>
        <v>10101669</v>
      </c>
      <c r="J14" s="223">
        <f>'TỔNG HỢP'!BZ14</f>
        <v>1423642801</v>
      </c>
      <c r="K14" s="223">
        <f>'TỔNG HỢP'!DA14</f>
        <v>1267113621</v>
      </c>
      <c r="L14" s="223">
        <f>'TỔNG HỢP'!DB14</f>
        <v>0</v>
      </c>
      <c r="M14" s="223">
        <f>'TỔNG HỢP'!DC14</f>
        <v>0</v>
      </c>
      <c r="N14" s="223">
        <f>'TỔNG HỢP'!DD14</f>
        <v>0</v>
      </c>
      <c r="O14" s="223">
        <f>'TỔNG HỢP'!DE14</f>
        <v>1267113621</v>
      </c>
      <c r="R14" s="223">
        <f>'TỔNG HỢP'!DH14</f>
        <v>1267113621</v>
      </c>
    </row>
    <row r="15" spans="1:18">
      <c r="A15" t="s">
        <v>293</v>
      </c>
      <c r="B15" s="223">
        <f>'TỔNG HỢP'!B15</f>
        <v>6659874230</v>
      </c>
      <c r="C15" s="223">
        <f>'TỔNG HỢP'!Q15</f>
        <v>1048000</v>
      </c>
      <c r="D15" s="223">
        <f>'TỔNG HỢP'!V15</f>
        <v>6658826230</v>
      </c>
      <c r="E15" s="223">
        <f>'TỔNG HỢP'!W15</f>
        <v>6027309576</v>
      </c>
      <c r="F15" s="223">
        <f>'TỔNG HỢP'!AK15</f>
        <v>631516654</v>
      </c>
      <c r="G15" s="223">
        <f>'TỔNG HỢP'!AT15</f>
        <v>645288535</v>
      </c>
      <c r="H15" s="223">
        <f>'TỔNG HỢP'!BH15</f>
        <v>0</v>
      </c>
      <c r="I15" s="223">
        <f>'TỔNG HỢP'!BY15</f>
        <v>856602</v>
      </c>
      <c r="J15" s="223">
        <f>'TỔNG HỢP'!BZ15</f>
        <v>1255579031</v>
      </c>
      <c r="K15" s="223">
        <f>'TỔNG HỢP'!DA15</f>
        <v>20369556</v>
      </c>
      <c r="L15" s="223">
        <f>'TỔNG HỢP'!DB15</f>
        <v>743643</v>
      </c>
      <c r="M15" s="223">
        <f>'TỔNG HỢP'!DC15</f>
        <v>0</v>
      </c>
      <c r="N15" s="223">
        <f>'TỔNG HỢP'!DD15</f>
        <v>743643</v>
      </c>
      <c r="O15" s="223">
        <f>'TỔNG HỢP'!DE15</f>
        <v>21113199</v>
      </c>
      <c r="R15" s="223">
        <f>'TỔNG HỢP'!DH15</f>
        <v>21113199</v>
      </c>
    </row>
    <row r="16" spans="1:18">
      <c r="A16" t="s">
        <v>294</v>
      </c>
      <c r="B16" s="223">
        <f>'TỔNG HỢP'!B16</f>
        <v>9019405457</v>
      </c>
      <c r="C16" s="223">
        <f>'TỔNG HỢP'!Q16</f>
        <v>0</v>
      </c>
      <c r="D16" s="223">
        <f>'TỔNG HỢP'!V16</f>
        <v>9019405457</v>
      </c>
      <c r="E16" s="223">
        <f>'TỔNG HỢP'!W16</f>
        <v>8115781155</v>
      </c>
      <c r="F16" s="223">
        <f>'TỔNG HỢP'!AK16</f>
        <v>903624302</v>
      </c>
      <c r="G16" s="223">
        <f>'TỔNG HỢP'!AT16</f>
        <v>6810307508</v>
      </c>
      <c r="H16" s="223">
        <f>'TỔNG HỢP'!BH16</f>
        <v>18566685331</v>
      </c>
      <c r="I16" s="223">
        <f>'TỔNG HỢP'!BY16</f>
        <v>2248333</v>
      </c>
      <c r="J16" s="223">
        <f>'TỔNG HỢP'!BZ16</f>
        <v>1612748999</v>
      </c>
      <c r="K16" s="223">
        <f>'TỔNG HỢP'!DA16</f>
        <v>-12467750853</v>
      </c>
      <c r="L16" s="223">
        <f>'TỔNG HỢP'!DB16</f>
        <v>112000</v>
      </c>
      <c r="M16" s="223">
        <f>'TỔNG HỢP'!DC16</f>
        <v>4000000</v>
      </c>
      <c r="N16" s="223">
        <f>'TỔNG HỢP'!DD16</f>
        <v>-3888000</v>
      </c>
      <c r="O16" s="223">
        <f>'TỔNG HỢP'!DE16</f>
        <v>-12471638853</v>
      </c>
      <c r="R16" s="223">
        <f>'TỔNG HỢP'!DH16</f>
        <v>-12471638853</v>
      </c>
    </row>
    <row r="17" spans="1:111">
      <c r="A17" t="s">
        <v>295</v>
      </c>
      <c r="B17" s="223">
        <f>'TỔNG HỢP'!B17</f>
        <v>11016654074</v>
      </c>
      <c r="C17" s="223">
        <f>'TỔNG HỢP'!Q17</f>
        <v>0</v>
      </c>
      <c r="D17" s="223">
        <f>'TỔNG HỢP'!V17</f>
        <v>11016654074</v>
      </c>
      <c r="E17" s="223">
        <f>'TỔNG HỢP'!W17</f>
        <v>10067966819</v>
      </c>
      <c r="F17" s="223">
        <f>'TỔNG HỢP'!AK17</f>
        <v>948687255</v>
      </c>
      <c r="G17" s="223">
        <f>'TỔNG HỢP'!AT17</f>
        <v>5470427080</v>
      </c>
      <c r="H17" s="223">
        <f>'TỔNG HỢP'!BH17</f>
        <v>0</v>
      </c>
      <c r="I17" s="223">
        <f>'TỔNG HỢP'!BY17</f>
        <v>0</v>
      </c>
      <c r="J17" s="223">
        <f>'TỔNG HỢP'!BZ17</f>
        <v>1331348023</v>
      </c>
      <c r="K17" s="223">
        <f>'TỔNG HỢP'!DA17</f>
        <v>5087766312</v>
      </c>
      <c r="L17" s="223">
        <f>'TỔNG HỢP'!DB17</f>
        <v>0</v>
      </c>
      <c r="M17" s="223">
        <f>'TỔNG HỢP'!DC17</f>
        <v>4336600</v>
      </c>
      <c r="N17" s="223">
        <f>'TỔNG HỢP'!DD17</f>
        <v>-4336600</v>
      </c>
      <c r="O17" s="223">
        <f>'TỔNG HỢP'!DE17</f>
        <v>5083429712</v>
      </c>
      <c r="R17" s="223">
        <f>'TỔNG HỢP'!DH17</f>
        <v>5083429712</v>
      </c>
    </row>
    <row r="18" spans="1:111">
      <c r="A18" t="s">
        <v>296</v>
      </c>
      <c r="B18" s="223">
        <f>'TỔNG HỢP'!B18</f>
        <v>11810186322</v>
      </c>
      <c r="C18" s="223">
        <f>'TỔNG HỢP'!Q18</f>
        <v>1100931</v>
      </c>
      <c r="D18" s="223">
        <f>'TỔNG HỢP'!V18</f>
        <v>11809085391</v>
      </c>
      <c r="E18" s="223">
        <f>'TỔNG HỢP'!W18</f>
        <v>10787121764</v>
      </c>
      <c r="F18" s="223">
        <f>'TỔNG HỢP'!AK18</f>
        <v>1021963627</v>
      </c>
      <c r="G18" s="223">
        <f>'TỔNG HỢP'!AT18</f>
        <v>649316118</v>
      </c>
      <c r="H18" s="223">
        <f>'TỔNG HỢP'!BH18</f>
        <v>0</v>
      </c>
      <c r="I18" s="223">
        <f>'TỔNG HỢP'!BY18</f>
        <v>6000000</v>
      </c>
      <c r="J18" s="223">
        <f>'TỔNG HỢP'!BZ18</f>
        <v>1195149402</v>
      </c>
      <c r="K18" s="223">
        <f>'TỔNG HỢP'!DA18</f>
        <v>470130343</v>
      </c>
      <c r="L18" s="223">
        <f>'TỔNG HỢP'!DB18</f>
        <v>0</v>
      </c>
      <c r="M18" s="223">
        <f>'TỔNG HỢP'!DC18</f>
        <v>430415</v>
      </c>
      <c r="N18" s="223">
        <f>'TỔNG HỢP'!DD18</f>
        <v>-430415</v>
      </c>
      <c r="O18" s="223">
        <f>'TỔNG HỢP'!DE18</f>
        <v>469699928</v>
      </c>
      <c r="R18" s="223">
        <f>'TỔNG HỢP'!DH18</f>
        <v>469699928</v>
      </c>
    </row>
    <row r="19" spans="1:111">
      <c r="A19" t="s">
        <v>297</v>
      </c>
      <c r="B19" s="223">
        <f>'TỔNG HỢP'!B19</f>
        <v>10390531914</v>
      </c>
      <c r="C19" s="223">
        <f>'TỔNG HỢP'!Q19</f>
        <v>0</v>
      </c>
      <c r="D19" s="223">
        <f>'TỔNG HỢP'!V19</f>
        <v>10390531914</v>
      </c>
      <c r="E19" s="223">
        <f>'TỔNG HỢP'!W19</f>
        <v>9327814791</v>
      </c>
      <c r="F19" s="223">
        <f>'TỔNG HỢP'!AK19</f>
        <v>1062717123</v>
      </c>
      <c r="G19" s="223">
        <f>'TỔNG HỢP'!AT19</f>
        <v>6979832739</v>
      </c>
      <c r="H19" s="223">
        <f>'TỔNG HỢP'!BH19</f>
        <v>4544357873</v>
      </c>
      <c r="I19" s="223">
        <f>'TỔNG HỢP'!BY19</f>
        <v>0</v>
      </c>
      <c r="J19" s="223">
        <f>'TỔNG HỢP'!BZ19</f>
        <v>1845284034</v>
      </c>
      <c r="K19" s="223">
        <f>'TỔNG HỢP'!DA19</f>
        <v>1652907955</v>
      </c>
      <c r="L19" s="223">
        <f>'TỔNG HỢP'!DB19</f>
        <v>0</v>
      </c>
      <c r="M19" s="223">
        <f>'TỔNG HỢP'!DC19</f>
        <v>253362821</v>
      </c>
      <c r="N19" s="223">
        <f>'TỔNG HỢP'!DD19</f>
        <v>-253362821</v>
      </c>
      <c r="O19" s="223">
        <f>'TỔNG HỢP'!DE19</f>
        <v>1399545134</v>
      </c>
      <c r="R19" s="223">
        <f>'TỔNG HỢP'!DH19</f>
        <v>1399545134</v>
      </c>
    </row>
    <row r="20" spans="1:111">
      <c r="A20" t="s">
        <v>298</v>
      </c>
      <c r="B20" s="223">
        <f>'TỔNG HỢP'!B20</f>
        <v>41024125459</v>
      </c>
      <c r="C20" s="223">
        <f>'TỔNG HỢP'!Q20</f>
        <v>0</v>
      </c>
      <c r="D20" s="223">
        <f>'TỔNG HỢP'!V20</f>
        <v>41024125459</v>
      </c>
      <c r="E20" s="223">
        <f>'TỔNG HỢP'!W20</f>
        <v>37875065022</v>
      </c>
      <c r="F20" s="223">
        <f>'TỔNG HỢP'!AK20</f>
        <v>3149060437</v>
      </c>
      <c r="G20" s="223">
        <f>'TỔNG HỢP'!AT20</f>
        <v>582617569</v>
      </c>
      <c r="H20" s="223">
        <f>'TỔNG HỢP'!BH20</f>
        <v>0</v>
      </c>
      <c r="I20" s="223">
        <f>'TỔNG HỢP'!BY20</f>
        <v>12000000</v>
      </c>
      <c r="J20" s="223">
        <f>'TỔNG HỢP'!BZ20</f>
        <v>1211812013</v>
      </c>
      <c r="K20" s="223">
        <f>'TỔNG HỢP'!DA20</f>
        <v>2507865993</v>
      </c>
      <c r="L20" s="223">
        <f>'TỔNG HỢP'!DB20</f>
        <v>0</v>
      </c>
      <c r="M20" s="223">
        <f>'TỔNG HỢP'!DC20</f>
        <v>67678101</v>
      </c>
      <c r="N20" s="223">
        <f>'TỔNG HỢP'!DD20</f>
        <v>-67678101</v>
      </c>
      <c r="O20" s="223">
        <f>'TỔNG HỢP'!DE20</f>
        <v>2440187892</v>
      </c>
      <c r="R20" s="223">
        <f>'TỔNG HỢP'!DH20</f>
        <v>2440187892</v>
      </c>
    </row>
    <row r="21" spans="1:111">
      <c r="A21" t="s">
        <v>299</v>
      </c>
      <c r="B21" s="223">
        <f>'TỔNG HỢP'!B21</f>
        <v>73871522687</v>
      </c>
      <c r="C21" s="223">
        <f>'TỔNG HỢP'!Q21</f>
        <v>0</v>
      </c>
      <c r="D21" s="223">
        <f>'TỔNG HỢP'!V21</f>
        <v>73871522687</v>
      </c>
      <c r="E21" s="223">
        <f>'TỔNG HỢP'!W21</f>
        <v>68586055201</v>
      </c>
      <c r="F21" s="223">
        <f>'TỔNG HỢP'!AK21</f>
        <v>5285467486</v>
      </c>
      <c r="G21" s="223">
        <f>'TỔNG HỢP'!AT21</f>
        <v>583377890</v>
      </c>
      <c r="H21" s="223">
        <f>'TỔNG HỢP'!BH21</f>
        <v>0</v>
      </c>
      <c r="I21" s="223">
        <f>'TỔNG HỢP'!BY21</f>
        <v>0</v>
      </c>
      <c r="J21" s="223">
        <f>'TỔNG HỢP'!BZ21</f>
        <v>1213785902</v>
      </c>
      <c r="K21" s="223">
        <f>'TỔNG HỢP'!DA21</f>
        <v>4655059474</v>
      </c>
      <c r="L21" s="223">
        <f>'TỔNG HỢP'!DB21</f>
        <v>0</v>
      </c>
      <c r="M21" s="223">
        <f>'TỔNG HỢP'!DC21</f>
        <v>68199391</v>
      </c>
      <c r="N21" s="223">
        <f>'TỔNG HỢP'!DD21</f>
        <v>-68199391</v>
      </c>
      <c r="O21" s="223">
        <f>'TỔNG HỢP'!DE21</f>
        <v>4586860083</v>
      </c>
      <c r="R21" s="223">
        <f>'TỔNG HỢP'!DH21</f>
        <v>4586860083</v>
      </c>
    </row>
    <row r="22" spans="1:111">
      <c r="A22" t="s">
        <v>300</v>
      </c>
      <c r="B22" s="223">
        <f>'TỔNG HỢP'!B22</f>
        <v>80278102476</v>
      </c>
      <c r="C22" s="223">
        <f>'TỔNG HỢP'!Q22</f>
        <v>0</v>
      </c>
      <c r="D22" s="223">
        <f>'TỔNG HỢP'!V22</f>
        <v>80278102476</v>
      </c>
      <c r="E22" s="223">
        <f>'TỔNG HỢP'!W22</f>
        <v>74638812097</v>
      </c>
      <c r="F22" s="223">
        <f>'TỔNG HỢP'!AK22</f>
        <v>5639290379</v>
      </c>
      <c r="G22" s="223">
        <f>'TỔNG HỢP'!AT22</f>
        <v>7350977585</v>
      </c>
      <c r="H22" s="223">
        <f>'TỔNG HỢP'!BH22</f>
        <v>-852558849</v>
      </c>
      <c r="I22" s="223">
        <f>'TỔNG HỢP'!BY22</f>
        <v>0</v>
      </c>
      <c r="J22" s="223">
        <f>'TỔNG HỢP'!BZ22</f>
        <v>1587165510</v>
      </c>
      <c r="K22" s="223">
        <f>'TỔNG HỢP'!DA22</f>
        <v>12255661303</v>
      </c>
      <c r="L22" s="223">
        <f>'TỔNG HỢP'!DB22</f>
        <v>294451</v>
      </c>
      <c r="M22" s="223">
        <f>'TỔNG HỢP'!DC22</f>
        <v>43110852</v>
      </c>
      <c r="N22" s="223">
        <f>'TỔNG HỢP'!DD22</f>
        <v>-42816401</v>
      </c>
      <c r="O22" s="223">
        <f>'TỔNG HỢP'!DE22</f>
        <v>12212844902</v>
      </c>
      <c r="R22" s="223">
        <f>'TỔNG HỢP'!DH22</f>
        <v>12212844902</v>
      </c>
    </row>
    <row r="23" spans="1:111">
      <c r="A23" t="s">
        <v>301</v>
      </c>
      <c r="B23" s="223">
        <f>'TỔNG HỢP'!B23</f>
        <v>11306829647</v>
      </c>
      <c r="C23" s="223">
        <f>'TỔNG HỢP'!Q23</f>
        <v>664848</v>
      </c>
      <c r="D23" s="223">
        <f>'TỔNG HỢP'!V23</f>
        <v>11306164799</v>
      </c>
      <c r="E23" s="223">
        <f>'TỔNG HỢP'!W23</f>
        <v>10272549090</v>
      </c>
      <c r="F23" s="223">
        <f>'TỔNG HỢP'!AK23</f>
        <v>1033615709</v>
      </c>
      <c r="G23" s="223">
        <f>'TỔNG HỢP'!AT23</f>
        <v>649777174</v>
      </c>
      <c r="H23" s="223">
        <f>'TỔNG HỢP'!BH23</f>
        <v>0</v>
      </c>
      <c r="I23" s="223">
        <f>'TỔNG HỢP'!BY23</f>
        <v>0</v>
      </c>
      <c r="J23" s="223">
        <f>'TỔNG HỢP'!BZ23</f>
        <v>1532311532</v>
      </c>
      <c r="K23" s="223">
        <f>'TỔNG HỢP'!DA23</f>
        <v>151081351</v>
      </c>
      <c r="L23" s="223">
        <f>'TỔNG HỢP'!DB23</f>
        <v>0</v>
      </c>
      <c r="M23" s="223">
        <f>'TỔNG HỢP'!DC23</f>
        <v>-286722471</v>
      </c>
      <c r="N23" s="223">
        <f>'TỔNG HỢP'!DD23</f>
        <v>286722471</v>
      </c>
      <c r="O23" s="223">
        <f>'TỔNG HỢP'!DE23</f>
        <v>437803822</v>
      </c>
      <c r="R23" s="223">
        <f>'TỔNG HỢP'!DH23</f>
        <v>437803822</v>
      </c>
    </row>
    <row r="24" spans="1:111">
      <c r="A24" t="s">
        <v>302</v>
      </c>
      <c r="B24" s="223">
        <f>'TỔNG HỢP'!B24</f>
        <v>8531991581</v>
      </c>
      <c r="C24" s="223">
        <f>'TỔNG HỢP'!Q24</f>
        <v>0</v>
      </c>
      <c r="D24" s="223">
        <f>'TỔNG HỢP'!V24</f>
        <v>8531991581</v>
      </c>
      <c r="E24" s="223">
        <f>'TỔNG HỢP'!W24</f>
        <v>7756915117</v>
      </c>
      <c r="F24" s="223">
        <f>'TỔNG HỢP'!AK24</f>
        <v>775076464</v>
      </c>
      <c r="G24" s="223">
        <f>'TỔNG HỢP'!AT24</f>
        <v>597995809</v>
      </c>
      <c r="H24" s="223">
        <f>'TỔNG HỢP'!BH24</f>
        <v>0</v>
      </c>
      <c r="I24" s="223">
        <f>'TỔNG HỢP'!BY24</f>
        <v>0</v>
      </c>
      <c r="J24" s="223">
        <f>'TỔNG HỢP'!BZ24</f>
        <v>4471780377</v>
      </c>
      <c r="K24" s="223">
        <f>'TỔNG HỢP'!DA24</f>
        <v>-3098708104</v>
      </c>
      <c r="L24" s="223">
        <f>'TỔNG HỢP'!DB24</f>
        <v>290909091</v>
      </c>
      <c r="M24" s="223">
        <f>'TỔNG HỢP'!DC24</f>
        <v>1005605</v>
      </c>
      <c r="N24" s="223">
        <f>'TỔNG HỢP'!DD24</f>
        <v>289903486</v>
      </c>
      <c r="O24" s="223">
        <f>'TỔNG HỢP'!DE24</f>
        <v>-2808804618</v>
      </c>
      <c r="R24" s="223">
        <f>'TỔNG HỢP'!DH24</f>
        <v>-2808804618</v>
      </c>
    </row>
    <row r="25" spans="1:111">
      <c r="A25" t="s">
        <v>303</v>
      </c>
      <c r="B25" s="223">
        <f>'TỔNG HỢP'!B25</f>
        <v>13144990764</v>
      </c>
      <c r="C25" s="223">
        <f>'TỔNG HỢP'!Q25</f>
        <v>0</v>
      </c>
      <c r="D25" s="223">
        <f>'TỔNG HỢP'!V25</f>
        <v>13144990764</v>
      </c>
      <c r="E25" s="223">
        <f>'TỔNG HỢP'!W25</f>
        <v>11921064393</v>
      </c>
      <c r="F25" s="223">
        <f>'TỔNG HỢP'!AK25</f>
        <v>1223926371</v>
      </c>
      <c r="G25" s="223">
        <f>'TỔNG HỢP'!AT25</f>
        <v>8215116266</v>
      </c>
      <c r="H25" s="223">
        <f>'TỔNG HỢP'!BH25</f>
        <v>-9633247804</v>
      </c>
      <c r="I25" s="223">
        <f>'TỔNG HỢP'!BY25</f>
        <v>0</v>
      </c>
      <c r="J25" s="223">
        <f>'TỔNG HỢP'!BZ25</f>
        <v>1977951337</v>
      </c>
      <c r="K25" s="223">
        <f>'TỔNG HỢP'!DA25</f>
        <v>17094339104</v>
      </c>
      <c r="L25" s="223">
        <f>'TỔNG HỢP'!DB25</f>
        <v>6808259</v>
      </c>
      <c r="M25" s="223">
        <f>'TỔNG HỢP'!DC25</f>
        <v>17624000</v>
      </c>
      <c r="N25" s="223">
        <f>'TỔNG HỢP'!DD25</f>
        <v>-10815741</v>
      </c>
      <c r="O25" s="223">
        <f>'TỔNG HỢP'!DE25</f>
        <v>17083523363</v>
      </c>
      <c r="R25" s="223">
        <f>'TỔNG HỢP'!DH25</f>
        <v>17083523363</v>
      </c>
    </row>
    <row r="26" spans="1:111" ht="15.5">
      <c r="A26" t="s">
        <v>405</v>
      </c>
      <c r="B26" s="223">
        <f>'TỔNG HỢP'!B26</f>
        <v>7430996486</v>
      </c>
      <c r="C26" s="223">
        <f>'TỔNG HỢP'!Q26</f>
        <v>0</v>
      </c>
      <c r="D26" s="223">
        <f>'TỔNG HỢP'!V26</f>
        <v>7430996486</v>
      </c>
      <c r="E26" s="223">
        <f>'TỔNG HỢP'!W26</f>
        <v>6755081961</v>
      </c>
      <c r="F26" s="223">
        <f>'TỔNG HỢP'!AK26</f>
        <v>675914525</v>
      </c>
      <c r="G26" s="223">
        <f>'TỔNG HỢP'!AT26</f>
        <v>583255055</v>
      </c>
      <c r="H26" s="223">
        <f>'TỔNG HỢP'!BH26</f>
        <v>0</v>
      </c>
      <c r="I26" s="223">
        <f>'TỔNG HỢP'!BY26</f>
        <v>0</v>
      </c>
      <c r="J26" s="223">
        <f>'TỔNG HỢP'!BZ26</f>
        <v>1309763830</v>
      </c>
      <c r="K26" s="223">
        <f>'TỔNG HỢP'!DA26</f>
        <v>-50594250</v>
      </c>
      <c r="L26" s="223">
        <f>'TỔNG HỢP'!DB26</f>
        <v>0</v>
      </c>
      <c r="M26" s="223">
        <f>'TỔNG HỢP'!DC26</f>
        <v>0</v>
      </c>
      <c r="N26" s="223">
        <f>'TỔNG HỢP'!DD26</f>
        <v>0</v>
      </c>
      <c r="O26" s="223">
        <f>'TỔNG HỢP'!DE26</f>
        <v>-50594250</v>
      </c>
      <c r="R26" s="223">
        <f>'TỔNG HỢP'!DH26</f>
        <v>-50594250</v>
      </c>
      <c r="S26" s="251"/>
      <c r="T26" s="251"/>
      <c r="U26" s="251"/>
      <c r="V26" s="250"/>
      <c r="W26" s="250"/>
      <c r="X26" s="251"/>
      <c r="Y26" s="251"/>
      <c r="Z26" s="251"/>
      <c r="AA26" s="251"/>
      <c r="AB26" s="251"/>
      <c r="AC26" s="251"/>
      <c r="AD26" s="251"/>
      <c r="AE26" s="251"/>
      <c r="AF26" s="251"/>
      <c r="AG26" s="251"/>
      <c r="AH26" s="253"/>
      <c r="AI26" s="253"/>
      <c r="AJ26" s="190"/>
      <c r="AK26" s="250"/>
      <c r="AL26" s="251"/>
      <c r="AM26" s="251"/>
      <c r="AN26" s="251"/>
      <c r="AO26" s="251"/>
      <c r="AP26" s="252"/>
      <c r="AQ26" s="252"/>
      <c r="AR26" s="252"/>
      <c r="AS26" s="251"/>
      <c r="AT26" s="250"/>
      <c r="AU26" s="251"/>
      <c r="AV26" s="251"/>
      <c r="AW26" s="254"/>
      <c r="AX26" s="254"/>
      <c r="AY26" s="254"/>
      <c r="AZ26" s="254"/>
      <c r="BA26" s="254"/>
      <c r="BB26" s="254"/>
      <c r="BC26" s="251"/>
      <c r="BD26" s="254"/>
      <c r="BE26" s="254"/>
      <c r="BF26" s="254"/>
      <c r="BG26" s="254"/>
      <c r="BH26" s="250"/>
      <c r="BI26" s="251"/>
      <c r="BJ26" s="254"/>
      <c r="BK26" s="254"/>
      <c r="BL26" s="254"/>
      <c r="BM26" s="254"/>
      <c r="BN26" s="251"/>
      <c r="BO26" s="254"/>
      <c r="BP26" s="254"/>
      <c r="BQ26" s="254"/>
      <c r="BR26" s="254"/>
      <c r="BS26" s="254"/>
      <c r="BT26" s="254"/>
      <c r="BU26" s="254"/>
      <c r="BV26" s="254"/>
      <c r="BW26" s="254"/>
      <c r="BX26" s="251"/>
      <c r="BY26" s="250"/>
      <c r="BZ26" s="255"/>
      <c r="CA26" s="251"/>
      <c r="CB26" s="251"/>
      <c r="CC26" s="251"/>
      <c r="CD26" s="251"/>
      <c r="CE26" s="251"/>
      <c r="CF26" s="251"/>
      <c r="CG26" s="251"/>
      <c r="CH26" s="251"/>
      <c r="CI26" s="251"/>
      <c r="CJ26" s="251"/>
      <c r="CK26" s="251"/>
      <c r="CL26" s="251"/>
      <c r="CM26" s="251"/>
      <c r="CN26" s="251"/>
      <c r="CO26" s="251"/>
      <c r="CP26" s="251"/>
      <c r="CQ26" s="251"/>
      <c r="CR26" s="251"/>
      <c r="CS26" s="251"/>
      <c r="CT26" s="251"/>
      <c r="CU26" s="251"/>
      <c r="CV26" s="251"/>
      <c r="CW26" s="251"/>
      <c r="CX26" s="251"/>
      <c r="CY26" s="251"/>
      <c r="CZ26" s="250"/>
      <c r="DA26" s="250"/>
      <c r="DB26" s="250"/>
      <c r="DC26" s="250"/>
      <c r="DD26" s="250"/>
      <c r="DE26" s="250"/>
      <c r="DF26" s="250"/>
      <c r="DG26" s="250"/>
    </row>
    <row r="27" spans="1:111" ht="15.5">
      <c r="A27" t="s">
        <v>406</v>
      </c>
      <c r="B27" s="223">
        <f>'TỔNG HỢP'!B27</f>
        <v>8583276880</v>
      </c>
      <c r="C27" s="223">
        <f>'TỔNG HỢP'!Q27</f>
        <v>0</v>
      </c>
      <c r="D27" s="223">
        <f>'TỔNG HỢP'!V27</f>
        <v>8583276880</v>
      </c>
      <c r="E27" s="223">
        <f>'TỔNG HỢP'!W27</f>
        <v>7793153910</v>
      </c>
      <c r="F27" s="223">
        <f>'TỔNG HỢP'!AK27</f>
        <v>790122970</v>
      </c>
      <c r="G27" s="223">
        <f>'TỔNG HỢP'!AT27</f>
        <v>526994889</v>
      </c>
      <c r="H27" s="223">
        <f>'TỔNG HỢP'!BH27</f>
        <v>0</v>
      </c>
      <c r="I27" s="223">
        <f>'TỔNG HỢP'!BY27</f>
        <v>0</v>
      </c>
      <c r="J27" s="223">
        <f>'TỔNG HỢP'!BZ27</f>
        <v>1432189163</v>
      </c>
      <c r="K27" s="223">
        <f>'TỔNG HỢP'!DA27</f>
        <v>-115071304</v>
      </c>
      <c r="L27" s="223">
        <f>'TỔNG HỢP'!DB27</f>
        <v>0</v>
      </c>
      <c r="M27" s="223">
        <f>'TỔNG HỢP'!DC27</f>
        <v>0</v>
      </c>
      <c r="N27" s="223">
        <f>'TỔNG HỢP'!DD27</f>
        <v>0</v>
      </c>
      <c r="O27" s="223">
        <f>'TỔNG HỢP'!DE27</f>
        <v>-115071304</v>
      </c>
      <c r="R27" s="223">
        <f>'TỔNG HỢP'!DH27</f>
        <v>-115071304</v>
      </c>
      <c r="S27" s="251"/>
      <c r="T27" s="251"/>
      <c r="U27" s="251"/>
      <c r="V27" s="250"/>
      <c r="W27" s="250"/>
      <c r="X27" s="251"/>
      <c r="Y27" s="251"/>
      <c r="Z27" s="251"/>
      <c r="AA27" s="251"/>
      <c r="AB27" s="251"/>
      <c r="AC27" s="251"/>
      <c r="AD27" s="251"/>
      <c r="AE27" s="251"/>
      <c r="AF27" s="251"/>
      <c r="AG27" s="251"/>
      <c r="AH27" s="253"/>
      <c r="AI27" s="253"/>
      <c r="AJ27" s="190"/>
      <c r="AK27" s="250"/>
      <c r="AL27" s="251"/>
      <c r="AM27" s="251"/>
      <c r="AN27" s="251"/>
      <c r="AO27" s="251"/>
      <c r="AP27" s="252"/>
      <c r="AQ27" s="252"/>
      <c r="AR27" s="252"/>
      <c r="AS27" s="251"/>
      <c r="AT27" s="250"/>
      <c r="AU27" s="251"/>
      <c r="AV27" s="251"/>
      <c r="AW27" s="254"/>
      <c r="AX27" s="254"/>
      <c r="AY27" s="254"/>
      <c r="AZ27" s="254"/>
      <c r="BA27" s="254"/>
      <c r="BB27" s="254"/>
      <c r="BC27" s="251"/>
      <c r="BD27" s="254"/>
      <c r="BE27" s="254"/>
      <c r="BF27" s="254"/>
      <c r="BG27" s="254"/>
      <c r="BH27" s="250"/>
      <c r="BI27" s="251"/>
      <c r="BJ27" s="254"/>
      <c r="BK27" s="254"/>
      <c r="BL27" s="254"/>
      <c r="BM27" s="254"/>
      <c r="BN27" s="251"/>
      <c r="BO27" s="254"/>
      <c r="BP27" s="254"/>
      <c r="BQ27" s="254"/>
      <c r="BR27" s="254"/>
      <c r="BS27" s="254"/>
      <c r="BT27" s="254"/>
      <c r="BU27" s="254"/>
      <c r="BV27" s="254"/>
      <c r="BW27" s="254"/>
      <c r="BX27" s="251"/>
      <c r="BY27" s="250"/>
      <c r="BZ27" s="255"/>
      <c r="CA27" s="251"/>
      <c r="CB27" s="251"/>
      <c r="CC27" s="251"/>
      <c r="CD27" s="251"/>
      <c r="CE27" s="251"/>
      <c r="CF27" s="251"/>
      <c r="CG27" s="251"/>
      <c r="CH27" s="251"/>
      <c r="CI27" s="251"/>
      <c r="CJ27" s="251"/>
      <c r="CK27" s="251"/>
      <c r="CL27" s="251"/>
      <c r="CM27" s="251"/>
      <c r="CN27" s="251"/>
      <c r="CO27" s="251"/>
      <c r="CP27" s="251"/>
      <c r="CQ27" s="251"/>
      <c r="CR27" s="251"/>
      <c r="CS27" s="251"/>
      <c r="CT27" s="251"/>
      <c r="CU27" s="251"/>
      <c r="CV27" s="251"/>
      <c r="CW27" s="251"/>
      <c r="CX27" s="251"/>
      <c r="CY27" s="251"/>
      <c r="CZ27" s="250"/>
      <c r="DA27" s="250"/>
      <c r="DB27" s="250"/>
      <c r="DC27" s="250"/>
      <c r="DD27" s="250"/>
      <c r="DE27" s="250"/>
      <c r="DF27" s="250"/>
      <c r="DG27" s="250"/>
    </row>
    <row r="28" spans="1:111" ht="15.5">
      <c r="A28" t="s">
        <v>407</v>
      </c>
      <c r="B28" s="223">
        <f>'TỔNG HỢP'!B28</f>
        <v>10174546674</v>
      </c>
      <c r="C28" s="223">
        <f>'TỔNG HỢP'!Q28</f>
        <v>0</v>
      </c>
      <c r="D28" s="223">
        <f>'TỔNG HỢP'!V28</f>
        <v>10174546674</v>
      </c>
      <c r="E28" s="223">
        <f>'TỔNG HỢP'!W28</f>
        <v>9188732975</v>
      </c>
      <c r="F28" s="223">
        <f>'TỔNG HỢP'!AK28</f>
        <v>985813699</v>
      </c>
      <c r="G28" s="223">
        <f>'TỔNG HỢP'!AT28</f>
        <v>8733335675</v>
      </c>
      <c r="H28" s="223">
        <f>'TỔNG HỢP'!BH28</f>
        <v>6231560689</v>
      </c>
      <c r="I28" s="223">
        <f>'TỔNG HỢP'!BY28</f>
        <v>0</v>
      </c>
      <c r="J28" s="223">
        <f>'TỔNG HỢP'!BZ28</f>
        <v>1604975277</v>
      </c>
      <c r="K28" s="223">
        <f>'TỔNG HỢP'!DA28</f>
        <v>1882613408</v>
      </c>
      <c r="L28" s="223">
        <f>'TỔNG HỢP'!DB28</f>
        <v>0</v>
      </c>
      <c r="M28" s="223">
        <f>'TỔNG HỢP'!DC28</f>
        <v>0</v>
      </c>
      <c r="N28" s="223">
        <f>'TỔNG HỢP'!DD28</f>
        <v>0</v>
      </c>
      <c r="O28" s="223">
        <f>'TỔNG HỢP'!DE28</f>
        <v>1882613408</v>
      </c>
      <c r="R28" s="223">
        <f>'TỔNG HỢP'!DH28</f>
        <v>1882613408</v>
      </c>
      <c r="S28" s="251"/>
      <c r="T28" s="251"/>
      <c r="U28" s="251"/>
      <c r="V28" s="250"/>
      <c r="W28" s="250"/>
      <c r="X28" s="251"/>
      <c r="Y28" s="251"/>
      <c r="Z28" s="251"/>
      <c r="AA28" s="251"/>
      <c r="AB28" s="251"/>
      <c r="AC28" s="251"/>
      <c r="AD28" s="251"/>
      <c r="AE28" s="251"/>
      <c r="AF28" s="251"/>
      <c r="AG28" s="251"/>
      <c r="AH28" s="253"/>
      <c r="AI28" s="253"/>
      <c r="AJ28" s="190"/>
      <c r="AK28" s="250"/>
      <c r="AL28" s="251"/>
      <c r="AM28" s="251"/>
      <c r="AN28" s="251"/>
      <c r="AO28" s="251"/>
      <c r="AP28" s="252"/>
      <c r="AQ28" s="252"/>
      <c r="AR28" s="252"/>
      <c r="AS28" s="251"/>
      <c r="AT28" s="250"/>
      <c r="AU28" s="251"/>
      <c r="AV28" s="251"/>
      <c r="AW28" s="254"/>
      <c r="AX28" s="254"/>
      <c r="AY28" s="254"/>
      <c r="AZ28" s="254"/>
      <c r="BA28" s="254"/>
      <c r="BB28" s="254"/>
      <c r="BC28" s="251"/>
      <c r="BD28" s="254"/>
      <c r="BE28" s="254"/>
      <c r="BF28" s="254"/>
      <c r="BG28" s="254"/>
      <c r="BH28" s="250"/>
      <c r="BI28" s="251"/>
      <c r="BJ28" s="254"/>
      <c r="BK28" s="254"/>
      <c r="BL28" s="254"/>
      <c r="BM28" s="254"/>
      <c r="BN28" s="251"/>
      <c r="BO28" s="254"/>
      <c r="BP28" s="254"/>
      <c r="BQ28" s="254"/>
      <c r="BR28" s="254"/>
      <c r="BS28" s="254"/>
      <c r="BT28" s="254"/>
      <c r="BU28" s="254"/>
      <c r="BV28" s="254"/>
      <c r="BW28" s="254"/>
      <c r="BX28" s="251"/>
      <c r="BY28" s="250"/>
      <c r="BZ28" s="255"/>
      <c r="CA28" s="251"/>
      <c r="CB28" s="251"/>
      <c r="CC28" s="251"/>
      <c r="CD28" s="251"/>
      <c r="CE28" s="251"/>
      <c r="CF28" s="251"/>
      <c r="CG28" s="251"/>
      <c r="CH28" s="251"/>
      <c r="CI28" s="251"/>
      <c r="CJ28" s="251"/>
      <c r="CK28" s="251"/>
      <c r="CL28" s="251"/>
      <c r="CM28" s="251"/>
      <c r="CN28" s="251"/>
      <c r="CO28" s="251"/>
      <c r="CP28" s="251"/>
      <c r="CQ28" s="251"/>
      <c r="CR28" s="251"/>
      <c r="CS28" s="251"/>
      <c r="CT28" s="251"/>
      <c r="CU28" s="251"/>
      <c r="CV28" s="251"/>
      <c r="CW28" s="251"/>
      <c r="CX28" s="251"/>
      <c r="CY28" s="251"/>
      <c r="CZ28" s="250"/>
      <c r="DA28" s="250"/>
      <c r="DB28" s="250"/>
      <c r="DC28" s="250"/>
      <c r="DD28" s="250"/>
      <c r="DE28" s="250"/>
      <c r="DF28" s="250"/>
      <c r="DG28" s="250"/>
    </row>
    <row r="29" spans="1:111" ht="15.5">
      <c r="A29" t="s">
        <v>408</v>
      </c>
      <c r="B29" s="223">
        <f>'TỔNG HỢP'!B29</f>
        <v>12180080870</v>
      </c>
      <c r="C29" s="223">
        <f>'TỔNG HỢP'!Q29</f>
        <v>0</v>
      </c>
      <c r="D29" s="223">
        <f>'TỔNG HỢP'!V29</f>
        <v>12180080870</v>
      </c>
      <c r="E29" s="223">
        <f>'TỔNG HỢP'!W29</f>
        <v>11131877837</v>
      </c>
      <c r="F29" s="223">
        <f>'TỔNG HỢP'!AK29</f>
        <v>1048203033</v>
      </c>
      <c r="G29" s="223">
        <f>'TỔNG HỢP'!AT29</f>
        <v>564501666</v>
      </c>
      <c r="H29" s="223">
        <f>'TỔNG HỢP'!BH29</f>
        <v>0</v>
      </c>
      <c r="I29" s="223">
        <f>'TỔNG HỢP'!BY29</f>
        <v>0</v>
      </c>
      <c r="J29" s="223">
        <f>'TỔNG HỢP'!BZ29</f>
        <v>1429038467</v>
      </c>
      <c r="K29" s="223">
        <f>'TỔNG HỢP'!DA29</f>
        <v>183666232</v>
      </c>
      <c r="L29" s="223">
        <f>'TỔNG HỢP'!DB29</f>
        <v>0</v>
      </c>
      <c r="M29" s="223">
        <f>'TỔNG HỢP'!DC29</f>
        <v>0</v>
      </c>
      <c r="N29" s="223">
        <f>'TỔNG HỢP'!DD29</f>
        <v>0</v>
      </c>
      <c r="O29" s="223">
        <f>'TỔNG HỢP'!DE29</f>
        <v>183666232</v>
      </c>
      <c r="R29" s="223">
        <f>'TỔNG HỢP'!DH29</f>
        <v>183666232</v>
      </c>
      <c r="S29" s="251"/>
      <c r="T29" s="251"/>
      <c r="U29" s="251"/>
      <c r="V29" s="250"/>
      <c r="W29" s="250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3"/>
      <c r="AI29" s="253"/>
      <c r="AJ29" s="190"/>
      <c r="AK29" s="250"/>
      <c r="AL29" s="251"/>
      <c r="AM29" s="251"/>
      <c r="AN29" s="251"/>
      <c r="AO29" s="251"/>
      <c r="AP29" s="252"/>
      <c r="AQ29" s="252"/>
      <c r="AR29" s="252"/>
      <c r="AS29" s="251"/>
      <c r="AT29" s="250"/>
      <c r="AU29" s="251"/>
      <c r="AV29" s="251"/>
      <c r="AW29" s="254"/>
      <c r="AX29" s="254"/>
      <c r="AY29" s="254"/>
      <c r="AZ29" s="254"/>
      <c r="BA29" s="254"/>
      <c r="BB29" s="254"/>
      <c r="BC29" s="251"/>
      <c r="BD29" s="254"/>
      <c r="BE29" s="254"/>
      <c r="BF29" s="254"/>
      <c r="BG29" s="254"/>
      <c r="BH29" s="250"/>
      <c r="BI29" s="251"/>
      <c r="BJ29" s="254"/>
      <c r="BK29" s="254"/>
      <c r="BL29" s="254"/>
      <c r="BM29" s="254"/>
      <c r="BN29" s="251"/>
      <c r="BO29" s="254"/>
      <c r="BP29" s="254"/>
      <c r="BQ29" s="254"/>
      <c r="BR29" s="254"/>
      <c r="BS29" s="254"/>
      <c r="BT29" s="254"/>
      <c r="BU29" s="254"/>
      <c r="BV29" s="254"/>
      <c r="BW29" s="254"/>
      <c r="BX29" s="251"/>
      <c r="BY29" s="250"/>
      <c r="BZ29" s="255"/>
      <c r="CA29" s="251"/>
      <c r="CB29" s="251"/>
      <c r="CC29" s="251"/>
      <c r="CD29" s="251"/>
      <c r="CE29" s="251"/>
      <c r="CF29" s="251"/>
      <c r="CG29" s="251"/>
      <c r="CH29" s="251"/>
      <c r="CI29" s="251"/>
      <c r="CJ29" s="251"/>
      <c r="CK29" s="251"/>
      <c r="CL29" s="251"/>
      <c r="CM29" s="251"/>
      <c r="CN29" s="251"/>
      <c r="CO29" s="251"/>
      <c r="CP29" s="251"/>
      <c r="CQ29" s="251"/>
      <c r="CR29" s="251"/>
      <c r="CS29" s="251"/>
      <c r="CT29" s="251"/>
      <c r="CU29" s="251"/>
      <c r="CV29" s="251"/>
      <c r="CW29" s="251"/>
      <c r="CX29" s="251"/>
      <c r="CY29" s="251"/>
      <c r="CZ29" s="250"/>
      <c r="DA29" s="250"/>
      <c r="DB29" s="250"/>
      <c r="DC29" s="250"/>
      <c r="DD29" s="250"/>
      <c r="DE29" s="250"/>
      <c r="DF29" s="250"/>
      <c r="DG29" s="250"/>
    </row>
    <row r="30" spans="1:111" ht="15.5">
      <c r="A30" t="s">
        <v>409</v>
      </c>
      <c r="B30" s="223">
        <f>'TỔNG HỢP'!B30</f>
        <v>11934279308</v>
      </c>
      <c r="C30" s="223">
        <f>'TỔNG HỢP'!Q30</f>
        <v>0</v>
      </c>
      <c r="D30" s="223">
        <f>'TỔNG HỢP'!V30</f>
        <v>11934279308</v>
      </c>
      <c r="E30" s="223">
        <f>'TỔNG HỢP'!W30</f>
        <v>10915233570</v>
      </c>
      <c r="F30" s="223">
        <f>'TỔNG HỢP'!AK30</f>
        <v>1019045738</v>
      </c>
      <c r="G30" s="223">
        <f>'TỔNG HỢP'!AT30</f>
        <v>583255055</v>
      </c>
      <c r="H30" s="223">
        <f>'TỔNG HỢP'!BH30</f>
        <v>0</v>
      </c>
      <c r="I30" s="223">
        <f>'TỔNG HỢP'!BY30</f>
        <v>0</v>
      </c>
      <c r="J30" s="223">
        <f>'TỔNG HỢP'!BZ30</f>
        <v>2073491748</v>
      </c>
      <c r="K30" s="223">
        <f>'TỔNG HỢP'!DA30</f>
        <v>-471190955</v>
      </c>
      <c r="L30" s="223">
        <f>'TỔNG HỢP'!DB30</f>
        <v>0</v>
      </c>
      <c r="M30" s="223">
        <f>'TỔNG HỢP'!DC30</f>
        <v>0</v>
      </c>
      <c r="N30" s="223">
        <f>'TỔNG HỢP'!DD30</f>
        <v>0</v>
      </c>
      <c r="O30" s="223">
        <f>'TỔNG HỢP'!DE30</f>
        <v>-471190955</v>
      </c>
      <c r="R30" s="223">
        <f>'TỔNG HỢP'!DH30</f>
        <v>-471190955</v>
      </c>
      <c r="S30" s="251"/>
      <c r="T30" s="251"/>
      <c r="U30" s="251"/>
      <c r="V30" s="250"/>
      <c r="W30" s="250"/>
      <c r="X30" s="251"/>
      <c r="Y30" s="251"/>
      <c r="Z30" s="251"/>
      <c r="AA30" s="251"/>
      <c r="AB30" s="251"/>
      <c r="AC30" s="251"/>
      <c r="AD30" s="251"/>
      <c r="AE30" s="251"/>
      <c r="AF30" s="251"/>
      <c r="AG30" s="251"/>
      <c r="AH30" s="253"/>
      <c r="AI30" s="253"/>
      <c r="AJ30" s="190"/>
      <c r="AK30" s="250"/>
      <c r="AL30" s="251"/>
      <c r="AM30" s="251"/>
      <c r="AN30" s="251"/>
      <c r="AO30" s="251"/>
      <c r="AP30" s="252"/>
      <c r="AQ30" s="252"/>
      <c r="AR30" s="252"/>
      <c r="AS30" s="251"/>
      <c r="AT30" s="250"/>
      <c r="AU30" s="251"/>
      <c r="AV30" s="251"/>
      <c r="AW30" s="254"/>
      <c r="AX30" s="254"/>
      <c r="AY30" s="254"/>
      <c r="AZ30" s="254"/>
      <c r="BA30" s="254"/>
      <c r="BB30" s="254"/>
      <c r="BC30" s="251"/>
      <c r="BD30" s="254"/>
      <c r="BE30" s="254"/>
      <c r="BF30" s="254"/>
      <c r="BG30" s="254"/>
      <c r="BH30" s="250"/>
      <c r="BI30" s="251"/>
      <c r="BJ30" s="254"/>
      <c r="BK30" s="254"/>
      <c r="BL30" s="254"/>
      <c r="BM30" s="254"/>
      <c r="BN30" s="251"/>
      <c r="BO30" s="254"/>
      <c r="BP30" s="254"/>
      <c r="BQ30" s="254"/>
      <c r="BR30" s="254"/>
      <c r="BS30" s="254"/>
      <c r="BT30" s="254"/>
      <c r="BU30" s="254"/>
      <c r="BV30" s="254"/>
      <c r="BW30" s="254"/>
      <c r="BX30" s="251"/>
      <c r="BY30" s="250"/>
      <c r="BZ30" s="255"/>
      <c r="CA30" s="251"/>
      <c r="CB30" s="251"/>
      <c r="CC30" s="251"/>
      <c r="CD30" s="251"/>
      <c r="CE30" s="251"/>
      <c r="CF30" s="251"/>
      <c r="CG30" s="251"/>
      <c r="CH30" s="251"/>
      <c r="CI30" s="251"/>
      <c r="CJ30" s="251"/>
      <c r="CK30" s="251"/>
      <c r="CL30" s="251"/>
      <c r="CM30" s="251"/>
      <c r="CN30" s="251"/>
      <c r="CO30" s="251"/>
      <c r="CP30" s="251"/>
      <c r="CQ30" s="251"/>
      <c r="CR30" s="251"/>
      <c r="CS30" s="251"/>
      <c r="CT30" s="251"/>
      <c r="CU30" s="251"/>
      <c r="CV30" s="251"/>
      <c r="CW30" s="251"/>
      <c r="CX30" s="251"/>
      <c r="CY30" s="251"/>
      <c r="CZ30" s="250"/>
      <c r="DA30" s="250"/>
      <c r="DB30" s="250"/>
      <c r="DC30" s="250"/>
      <c r="DD30" s="250"/>
      <c r="DE30" s="250"/>
      <c r="DF30" s="250"/>
      <c r="DG30" s="250"/>
    </row>
    <row r="31" spans="1:111" ht="15.5">
      <c r="A31" t="s">
        <v>410</v>
      </c>
      <c r="B31" s="223">
        <f>'TỔNG HỢP'!B31</f>
        <v>12940754388</v>
      </c>
      <c r="C31" s="223">
        <f>'TỔNG HỢP'!Q31</f>
        <v>0</v>
      </c>
      <c r="D31" s="223">
        <f>'TỔNG HỢP'!V31</f>
        <v>12940754388</v>
      </c>
      <c r="E31" s="223">
        <f>'TỔNG HỢP'!W31</f>
        <v>11732965898</v>
      </c>
      <c r="F31" s="223">
        <f>'TỔNG HỢP'!AK31</f>
        <v>1207788490</v>
      </c>
      <c r="G31" s="223">
        <f>'TỔNG HỢP'!AT31</f>
        <v>8277104614</v>
      </c>
      <c r="H31" s="223">
        <f>'TỔNG HỢP'!BH31</f>
        <v>4191772984</v>
      </c>
      <c r="I31" s="223">
        <f>'TỔNG HỢP'!BY31</f>
        <v>0</v>
      </c>
      <c r="J31" s="223">
        <f>'TỔNG HỢP'!BZ31</f>
        <v>2973625065</v>
      </c>
      <c r="K31" s="223">
        <f>'TỔNG HỢP'!DA31</f>
        <v>2319495055</v>
      </c>
      <c r="L31" s="223">
        <f>'TỔNG HỢP'!DB31</f>
        <v>0</v>
      </c>
      <c r="M31" s="223">
        <f>'TỔNG HỢP'!DC31</f>
        <v>0</v>
      </c>
      <c r="N31" s="223">
        <f>'TỔNG HỢP'!DD31</f>
        <v>0</v>
      </c>
      <c r="O31" s="223">
        <f>'TỔNG HỢP'!DE31</f>
        <v>2319495055</v>
      </c>
      <c r="R31" s="223">
        <f>'TỔNG HỢP'!DH31</f>
        <v>2319495055</v>
      </c>
      <c r="S31" s="251"/>
      <c r="T31" s="251"/>
      <c r="U31" s="251"/>
      <c r="V31" s="250"/>
      <c r="W31" s="250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3"/>
      <c r="AI31" s="253"/>
      <c r="AJ31" s="190"/>
      <c r="AK31" s="250"/>
      <c r="AL31" s="251"/>
      <c r="AM31" s="251"/>
      <c r="AN31" s="251"/>
      <c r="AO31" s="251"/>
      <c r="AP31" s="252"/>
      <c r="AQ31" s="252"/>
      <c r="AR31" s="252"/>
      <c r="AS31" s="251"/>
      <c r="AT31" s="250"/>
      <c r="AU31" s="251"/>
      <c r="AV31" s="251"/>
      <c r="AW31" s="254"/>
      <c r="AX31" s="254"/>
      <c r="AY31" s="254"/>
      <c r="AZ31" s="254"/>
      <c r="BA31" s="254"/>
      <c r="BB31" s="254"/>
      <c r="BC31" s="251"/>
      <c r="BD31" s="254"/>
      <c r="BE31" s="254"/>
      <c r="BF31" s="254"/>
      <c r="BG31" s="254"/>
      <c r="BH31" s="250"/>
      <c r="BI31" s="251"/>
      <c r="BJ31" s="254"/>
      <c r="BK31" s="254"/>
      <c r="BL31" s="254"/>
      <c r="BM31" s="254"/>
      <c r="BN31" s="251"/>
      <c r="BO31" s="254"/>
      <c r="BP31" s="254"/>
      <c r="BQ31" s="254"/>
      <c r="BR31" s="254"/>
      <c r="BS31" s="254"/>
      <c r="BT31" s="254"/>
      <c r="BU31" s="254"/>
      <c r="BV31" s="254"/>
      <c r="BW31" s="254"/>
      <c r="BX31" s="251"/>
      <c r="BY31" s="250"/>
      <c r="BZ31" s="255"/>
      <c r="CA31" s="251"/>
      <c r="CB31" s="251"/>
      <c r="CC31" s="251"/>
      <c r="CD31" s="251"/>
      <c r="CE31" s="251"/>
      <c r="CF31" s="251"/>
      <c r="CG31" s="251"/>
      <c r="CH31" s="251"/>
      <c r="CI31" s="251"/>
      <c r="CJ31" s="251"/>
      <c r="CK31" s="251"/>
      <c r="CL31" s="251"/>
      <c r="CM31" s="251"/>
      <c r="CN31" s="251"/>
      <c r="CO31" s="251"/>
      <c r="CP31" s="251"/>
      <c r="CQ31" s="251"/>
      <c r="CR31" s="251"/>
      <c r="CS31" s="251"/>
      <c r="CT31" s="251"/>
      <c r="CU31" s="251"/>
      <c r="CV31" s="251"/>
      <c r="CW31" s="251"/>
      <c r="CX31" s="251"/>
      <c r="CY31" s="251"/>
      <c r="CZ31" s="250"/>
      <c r="DA31" s="250"/>
      <c r="DB31" s="250"/>
      <c r="DC31" s="250"/>
      <c r="DD31" s="250"/>
      <c r="DE31" s="250"/>
      <c r="DF31" s="250"/>
      <c r="DG31" s="250"/>
    </row>
    <row r="32" spans="1:111" ht="15.5">
      <c r="A32" t="s">
        <v>411</v>
      </c>
      <c r="B32" s="223">
        <f>'TỔNG HỢP'!B32</f>
        <v>49533062151</v>
      </c>
      <c r="C32" s="223">
        <f>'TỔNG HỢP'!Q32</f>
        <v>0</v>
      </c>
      <c r="D32" s="223">
        <f>'TỔNG HỢP'!V32</f>
        <v>49533062151</v>
      </c>
      <c r="E32" s="223">
        <f>'TỔNG HỢP'!W32</f>
        <v>45778470589</v>
      </c>
      <c r="F32" s="223">
        <f>'TỔNG HỢP'!AK32</f>
        <v>3754591562</v>
      </c>
      <c r="G32" s="223">
        <f>'TỔNG HỢP'!AT32</f>
        <v>583255055</v>
      </c>
      <c r="H32" s="223">
        <f>'TỔNG HỢP'!BH32</f>
        <v>0</v>
      </c>
      <c r="I32" s="223">
        <f>'TỔNG HỢP'!BY32</f>
        <v>0</v>
      </c>
      <c r="J32" s="223">
        <f>'TỔNG HỢP'!BZ32</f>
        <v>1581382139</v>
      </c>
      <c r="K32" s="223">
        <f>'TỔNG HỢP'!DA32</f>
        <v>2756464478</v>
      </c>
      <c r="L32" s="223">
        <f>'TỔNG HỢP'!DB32</f>
        <v>0</v>
      </c>
      <c r="M32" s="223">
        <f>'TỔNG HỢP'!DC32</f>
        <v>0</v>
      </c>
      <c r="N32" s="223">
        <f>'TỔNG HỢP'!DD32</f>
        <v>0</v>
      </c>
      <c r="O32" s="223">
        <f>'TỔNG HỢP'!DE32</f>
        <v>2756464478</v>
      </c>
      <c r="R32" s="223">
        <f>'TỔNG HỢP'!DH32</f>
        <v>2756464478</v>
      </c>
      <c r="S32" s="251"/>
      <c r="T32" s="251"/>
      <c r="U32" s="251"/>
      <c r="V32" s="250"/>
      <c r="W32" s="250"/>
      <c r="X32" s="251"/>
      <c r="Y32" s="251"/>
      <c r="Z32" s="251"/>
      <c r="AA32" s="251"/>
      <c r="AB32" s="251"/>
      <c r="AC32" s="251"/>
      <c r="AD32" s="251"/>
      <c r="AE32" s="251"/>
      <c r="AF32" s="251"/>
      <c r="AG32" s="251"/>
      <c r="AH32" s="253"/>
      <c r="AI32" s="253"/>
      <c r="AJ32" s="190"/>
      <c r="AK32" s="250"/>
      <c r="AL32" s="251"/>
      <c r="AM32" s="251"/>
      <c r="AN32" s="251"/>
      <c r="AO32" s="251"/>
      <c r="AP32" s="252"/>
      <c r="AQ32" s="252"/>
      <c r="AR32" s="252"/>
      <c r="AS32" s="251"/>
      <c r="AT32" s="250"/>
      <c r="AU32" s="251"/>
      <c r="AV32" s="251"/>
      <c r="AW32" s="254"/>
      <c r="AX32" s="254"/>
      <c r="AY32" s="254"/>
      <c r="AZ32" s="254"/>
      <c r="BA32" s="254"/>
      <c r="BB32" s="254"/>
      <c r="BC32" s="251"/>
      <c r="BD32" s="254"/>
      <c r="BE32" s="254"/>
      <c r="BF32" s="254"/>
      <c r="BG32" s="254"/>
      <c r="BH32" s="250"/>
      <c r="BI32" s="251"/>
      <c r="BJ32" s="254"/>
      <c r="BK32" s="254"/>
      <c r="BL32" s="254"/>
      <c r="BM32" s="254"/>
      <c r="BN32" s="251"/>
      <c r="BO32" s="254"/>
      <c r="BP32" s="254"/>
      <c r="BQ32" s="254"/>
      <c r="BR32" s="254"/>
      <c r="BS32" s="254"/>
      <c r="BT32" s="254"/>
      <c r="BU32" s="254"/>
      <c r="BV32" s="254"/>
      <c r="BW32" s="254"/>
      <c r="BX32" s="251"/>
      <c r="BY32" s="250"/>
      <c r="BZ32" s="255"/>
      <c r="CA32" s="251"/>
      <c r="CB32" s="251"/>
      <c r="CC32" s="251"/>
      <c r="CD32" s="251"/>
      <c r="CE32" s="251"/>
      <c r="CF32" s="251"/>
      <c r="CG32" s="251"/>
      <c r="CH32" s="251"/>
      <c r="CI32" s="251"/>
      <c r="CJ32" s="251"/>
      <c r="CK32" s="251"/>
      <c r="CL32" s="251"/>
      <c r="CM32" s="251"/>
      <c r="CN32" s="251"/>
      <c r="CO32" s="251"/>
      <c r="CP32" s="251"/>
      <c r="CQ32" s="251"/>
      <c r="CR32" s="251"/>
      <c r="CS32" s="251"/>
      <c r="CT32" s="251"/>
      <c r="CU32" s="251"/>
      <c r="CV32" s="251"/>
      <c r="CW32" s="251"/>
      <c r="CX32" s="251"/>
      <c r="CY32" s="251"/>
      <c r="CZ32" s="250"/>
      <c r="DA32" s="250"/>
      <c r="DB32" s="250"/>
      <c r="DC32" s="250"/>
      <c r="DD32" s="250"/>
      <c r="DE32" s="250"/>
      <c r="DF32" s="250"/>
      <c r="DG32" s="250"/>
    </row>
    <row r="33" spans="1:111" ht="15.5">
      <c r="A33" t="s">
        <v>412</v>
      </c>
      <c r="B33" s="223">
        <f>'TỔNG HỢP'!B33</f>
        <v>84816242627</v>
      </c>
      <c r="C33" s="223">
        <f>'TỔNG HỢP'!Q33</f>
        <v>0</v>
      </c>
      <c r="D33" s="223">
        <f>'TỔNG HỢP'!V33</f>
        <v>84816242627</v>
      </c>
      <c r="E33" s="223">
        <f>'TỔNG HỢP'!W33</f>
        <v>78766092027</v>
      </c>
      <c r="F33" s="223">
        <f>'TỔNG HỢP'!AK33</f>
        <v>6050150600</v>
      </c>
      <c r="G33" s="223">
        <f>'TỔNG HỢP'!AT33</f>
        <v>564501666</v>
      </c>
      <c r="H33" s="223">
        <f>'TỔNG HỢP'!BH33</f>
        <v>0</v>
      </c>
      <c r="I33" s="223">
        <f>'TỔNG HỢP'!BY33</f>
        <v>0</v>
      </c>
      <c r="J33" s="223">
        <f>'TỔNG HỢP'!BZ33</f>
        <v>1347582139</v>
      </c>
      <c r="K33" s="223">
        <f>'TỔNG HỢP'!DA33</f>
        <v>5267070127</v>
      </c>
      <c r="L33" s="223">
        <f>'TỔNG HỢP'!DB33</f>
        <v>0</v>
      </c>
      <c r="M33" s="223">
        <f>'TỔNG HỢP'!DC33</f>
        <v>0</v>
      </c>
      <c r="N33" s="223">
        <f>'TỔNG HỢP'!DD33</f>
        <v>0</v>
      </c>
      <c r="O33" s="223">
        <f>'TỔNG HỢP'!DE33</f>
        <v>5267070127</v>
      </c>
      <c r="R33" s="223">
        <f>'TỔNG HỢP'!DH33</f>
        <v>5267070127</v>
      </c>
      <c r="S33" s="251"/>
      <c r="T33" s="251"/>
      <c r="U33" s="251"/>
      <c r="V33" s="250"/>
      <c r="W33" s="250"/>
      <c r="X33" s="251"/>
      <c r="Y33" s="251"/>
      <c r="Z33" s="251"/>
      <c r="AA33" s="251"/>
      <c r="AB33" s="251"/>
      <c r="AC33" s="251"/>
      <c r="AD33" s="251"/>
      <c r="AE33" s="251"/>
      <c r="AF33" s="251"/>
      <c r="AG33" s="251"/>
      <c r="AH33" s="253"/>
      <c r="AI33" s="253"/>
      <c r="AJ33" s="190"/>
      <c r="AK33" s="250"/>
      <c r="AL33" s="251"/>
      <c r="AM33" s="251"/>
      <c r="AN33" s="251"/>
      <c r="AO33" s="251"/>
      <c r="AP33" s="252"/>
      <c r="AQ33" s="252"/>
      <c r="AR33" s="252"/>
      <c r="AS33" s="251"/>
      <c r="AT33" s="250"/>
      <c r="AU33" s="251"/>
      <c r="AV33" s="251"/>
      <c r="AW33" s="254"/>
      <c r="AX33" s="254"/>
      <c r="AY33" s="254"/>
      <c r="AZ33" s="254"/>
      <c r="BA33" s="254"/>
      <c r="BB33" s="254"/>
      <c r="BC33" s="251"/>
      <c r="BD33" s="254"/>
      <c r="BE33" s="254"/>
      <c r="BF33" s="254"/>
      <c r="BG33" s="254"/>
      <c r="BH33" s="250"/>
      <c r="BI33" s="251"/>
      <c r="BJ33" s="254"/>
      <c r="BK33" s="254"/>
      <c r="BL33" s="254"/>
      <c r="BM33" s="254"/>
      <c r="BN33" s="251"/>
      <c r="BO33" s="254"/>
      <c r="BP33" s="254"/>
      <c r="BQ33" s="254"/>
      <c r="BR33" s="254"/>
      <c r="BS33" s="254"/>
      <c r="BT33" s="254"/>
      <c r="BU33" s="254"/>
      <c r="BV33" s="254"/>
      <c r="BW33" s="254"/>
      <c r="BX33" s="251"/>
      <c r="BY33" s="250"/>
      <c r="BZ33" s="255"/>
      <c r="CA33" s="251"/>
      <c r="CB33" s="251"/>
      <c r="CC33" s="251"/>
      <c r="CD33" s="251"/>
      <c r="CE33" s="251"/>
      <c r="CF33" s="251"/>
      <c r="CG33" s="251"/>
      <c r="CH33" s="251"/>
      <c r="CI33" s="251"/>
      <c r="CJ33" s="251"/>
      <c r="CK33" s="251"/>
      <c r="CL33" s="251"/>
      <c r="CM33" s="251"/>
      <c r="CN33" s="251"/>
      <c r="CO33" s="251"/>
      <c r="CP33" s="251"/>
      <c r="CQ33" s="251"/>
      <c r="CR33" s="251"/>
      <c r="CS33" s="251"/>
      <c r="CT33" s="251"/>
      <c r="CU33" s="251"/>
      <c r="CV33" s="251"/>
      <c r="CW33" s="251"/>
      <c r="CX33" s="251"/>
      <c r="CY33" s="251"/>
      <c r="CZ33" s="250"/>
      <c r="DA33" s="250"/>
      <c r="DB33" s="250"/>
      <c r="DC33" s="250"/>
      <c r="DD33" s="250"/>
      <c r="DE33" s="250"/>
      <c r="DF33" s="250"/>
      <c r="DG33" s="250"/>
    </row>
    <row r="34" spans="1:111" ht="15.5">
      <c r="A34" t="s">
        <v>413</v>
      </c>
      <c r="B34" s="223">
        <f>'TỔNG HỢP'!B34</f>
        <v>72959961527</v>
      </c>
      <c r="C34" s="223">
        <f>'TỔNG HỢP'!Q34</f>
        <v>0</v>
      </c>
      <c r="D34" s="223">
        <f>'TỔNG HỢP'!V34</f>
        <v>72959961527</v>
      </c>
      <c r="E34" s="223">
        <f>'TỔNG HỢP'!W34</f>
        <v>67791910047</v>
      </c>
      <c r="F34" s="223">
        <f>'TỔNG HỢP'!AK34</f>
        <v>5168051480</v>
      </c>
      <c r="G34" s="223">
        <f>'TỔNG HỢP'!AT34</f>
        <v>7847517833</v>
      </c>
      <c r="H34" s="223">
        <f>'TỔNG HỢP'!BH34</f>
        <v>359338153</v>
      </c>
      <c r="I34" s="223">
        <f>'TỔNG HỢP'!BY34</f>
        <v>0</v>
      </c>
      <c r="J34" s="223">
        <f>'TỔNG HỢP'!BZ34</f>
        <v>1627122139</v>
      </c>
      <c r="K34" s="223">
        <f>'TỔNG HỢP'!DA34</f>
        <v>11029109021</v>
      </c>
      <c r="L34" s="223">
        <f>'TỔNG HỢP'!DB34</f>
        <v>0</v>
      </c>
      <c r="M34" s="223">
        <f>'TỔNG HỢP'!DC34</f>
        <v>0</v>
      </c>
      <c r="N34" s="223">
        <f>'TỔNG HỢP'!DD34</f>
        <v>0</v>
      </c>
      <c r="O34" s="223">
        <f>'TỔNG HỢP'!DE34</f>
        <v>11029109021</v>
      </c>
      <c r="R34" s="223">
        <f>'TỔNG HỢP'!DH34</f>
        <v>11029109021</v>
      </c>
      <c r="S34" s="251"/>
      <c r="T34" s="251"/>
      <c r="U34" s="251"/>
      <c r="V34" s="250"/>
      <c r="W34" s="250"/>
      <c r="X34" s="251"/>
      <c r="Y34" s="251"/>
      <c r="Z34" s="251"/>
      <c r="AA34" s="251"/>
      <c r="AB34" s="251"/>
      <c r="AC34" s="251"/>
      <c r="AD34" s="251"/>
      <c r="AE34" s="251"/>
      <c r="AF34" s="251"/>
      <c r="AG34" s="251"/>
      <c r="AH34" s="253"/>
      <c r="AI34" s="253"/>
      <c r="AJ34" s="190"/>
      <c r="AK34" s="250"/>
      <c r="AL34" s="251"/>
      <c r="AM34" s="251"/>
      <c r="AN34" s="251"/>
      <c r="AO34" s="251"/>
      <c r="AP34" s="252"/>
      <c r="AQ34" s="252"/>
      <c r="AR34" s="252"/>
      <c r="AS34" s="251"/>
      <c r="AT34" s="250"/>
      <c r="AU34" s="251"/>
      <c r="AV34" s="251"/>
      <c r="AW34" s="254"/>
      <c r="AX34" s="254"/>
      <c r="AY34" s="254"/>
      <c r="AZ34" s="254"/>
      <c r="BA34" s="254"/>
      <c r="BB34" s="254"/>
      <c r="BC34" s="251"/>
      <c r="BD34" s="254"/>
      <c r="BE34" s="254"/>
      <c r="BF34" s="254"/>
      <c r="BG34" s="254"/>
      <c r="BH34" s="250"/>
      <c r="BI34" s="251"/>
      <c r="BJ34" s="254"/>
      <c r="BK34" s="254"/>
      <c r="BL34" s="254"/>
      <c r="BM34" s="254"/>
      <c r="BN34" s="251"/>
      <c r="BO34" s="254"/>
      <c r="BP34" s="254"/>
      <c r="BQ34" s="254"/>
      <c r="BR34" s="254"/>
      <c r="BS34" s="254"/>
      <c r="BT34" s="254"/>
      <c r="BU34" s="254"/>
      <c r="BV34" s="254"/>
      <c r="BW34" s="254"/>
      <c r="BX34" s="251"/>
      <c r="BY34" s="250"/>
      <c r="BZ34" s="255"/>
      <c r="CA34" s="251"/>
      <c r="CB34" s="251"/>
      <c r="CC34" s="251"/>
      <c r="CD34" s="251"/>
      <c r="CE34" s="251"/>
      <c r="CF34" s="251"/>
      <c r="CG34" s="251"/>
      <c r="CH34" s="251"/>
      <c r="CI34" s="251"/>
      <c r="CJ34" s="251"/>
      <c r="CK34" s="251"/>
      <c r="CL34" s="251"/>
      <c r="CM34" s="251"/>
      <c r="CN34" s="251"/>
      <c r="CO34" s="251"/>
      <c r="CP34" s="251"/>
      <c r="CQ34" s="251"/>
      <c r="CR34" s="251"/>
      <c r="CS34" s="251"/>
      <c r="CT34" s="251"/>
      <c r="CU34" s="251"/>
      <c r="CV34" s="251"/>
      <c r="CW34" s="251"/>
      <c r="CX34" s="251"/>
      <c r="CY34" s="251"/>
      <c r="CZ34" s="250"/>
      <c r="DA34" s="250"/>
      <c r="DB34" s="250"/>
      <c r="DC34" s="250"/>
      <c r="DD34" s="250"/>
      <c r="DE34" s="250"/>
      <c r="DF34" s="250"/>
      <c r="DG34" s="250"/>
    </row>
    <row r="35" spans="1:111" ht="15.5">
      <c r="A35" t="s">
        <v>414</v>
      </c>
      <c r="B35" s="223">
        <f>'TỔNG HỢP'!B35</f>
        <v>12101915370</v>
      </c>
      <c r="C35" s="223">
        <f>'TỔNG HỢP'!Q35</f>
        <v>0</v>
      </c>
      <c r="D35" s="223">
        <f>'TỔNG HỢP'!V35</f>
        <v>12101915370</v>
      </c>
      <c r="E35" s="223">
        <f>'TỔNG HỢP'!W35</f>
        <v>11016993095</v>
      </c>
      <c r="F35" s="223">
        <f>'TỔNG HỢP'!AK35</f>
        <v>1084922275</v>
      </c>
      <c r="G35" s="223">
        <f>'TỔNG HỢP'!AT35</f>
        <v>340583255055</v>
      </c>
      <c r="H35" s="223">
        <f>'TỔNG HỢP'!BH35</f>
        <v>0</v>
      </c>
      <c r="I35" s="223">
        <f>'TỔNG HỢP'!BY35</f>
        <v>0</v>
      </c>
      <c r="J35" s="223">
        <f>'TỔNG HỢP'!BZ35</f>
        <v>1462165472</v>
      </c>
      <c r="K35" s="223">
        <f>'TỔNG HỢP'!DA35</f>
        <v>340206011858</v>
      </c>
      <c r="L35" s="223">
        <f>'TỔNG HỢP'!DB35</f>
        <v>0</v>
      </c>
      <c r="M35" s="223">
        <f>'TỔNG HỢP'!DC35</f>
        <v>0</v>
      </c>
      <c r="N35" s="223">
        <f>'TỔNG HỢP'!DD35</f>
        <v>0</v>
      </c>
      <c r="O35" s="223">
        <f>'TỔNG HỢP'!DE35</f>
        <v>340206011858</v>
      </c>
      <c r="R35" s="223">
        <f>'TỔNG HỢP'!DH35</f>
        <v>340206011858</v>
      </c>
      <c r="S35" s="251"/>
      <c r="T35" s="251"/>
      <c r="U35" s="251"/>
      <c r="V35" s="250"/>
      <c r="W35" s="250"/>
      <c r="X35" s="251"/>
      <c r="Y35" s="251"/>
      <c r="Z35" s="251"/>
      <c r="AA35" s="251"/>
      <c r="AB35" s="251"/>
      <c r="AC35" s="251"/>
      <c r="AD35" s="251"/>
      <c r="AE35" s="251"/>
      <c r="AF35" s="251"/>
      <c r="AG35" s="251"/>
      <c r="AH35" s="253"/>
      <c r="AI35" s="253"/>
      <c r="AJ35" s="190"/>
      <c r="AK35" s="250"/>
      <c r="AL35" s="251"/>
      <c r="AM35" s="251"/>
      <c r="AN35" s="251"/>
      <c r="AO35" s="251"/>
      <c r="AP35" s="252"/>
      <c r="AQ35" s="252"/>
      <c r="AR35" s="252"/>
      <c r="AS35" s="251"/>
      <c r="AT35" s="250"/>
      <c r="AU35" s="251"/>
      <c r="AV35" s="251"/>
      <c r="AW35" s="254"/>
      <c r="AX35" s="254"/>
      <c r="AY35" s="254"/>
      <c r="AZ35" s="254"/>
      <c r="BA35" s="254"/>
      <c r="BB35" s="254"/>
      <c r="BC35" s="251"/>
      <c r="BD35" s="254"/>
      <c r="BE35" s="254"/>
      <c r="BF35" s="254"/>
      <c r="BG35" s="254"/>
      <c r="BH35" s="250"/>
      <c r="BI35" s="251"/>
      <c r="BJ35" s="254"/>
      <c r="BK35" s="254"/>
      <c r="BL35" s="254"/>
      <c r="BM35" s="254"/>
      <c r="BN35" s="251"/>
      <c r="BO35" s="254"/>
      <c r="BP35" s="254"/>
      <c r="BQ35" s="254"/>
      <c r="BR35" s="254"/>
      <c r="BS35" s="254"/>
      <c r="BT35" s="254"/>
      <c r="BU35" s="254"/>
      <c r="BV35" s="254"/>
      <c r="BW35" s="254"/>
      <c r="BX35" s="251"/>
      <c r="BY35" s="250"/>
      <c r="BZ35" s="255"/>
      <c r="CA35" s="251"/>
      <c r="CB35" s="251"/>
      <c r="CC35" s="251"/>
      <c r="CD35" s="251"/>
      <c r="CE35" s="251"/>
      <c r="CF35" s="251"/>
      <c r="CG35" s="251"/>
      <c r="CH35" s="251"/>
      <c r="CI35" s="251"/>
      <c r="CJ35" s="251"/>
      <c r="CK35" s="251"/>
      <c r="CL35" s="251"/>
      <c r="CM35" s="251"/>
      <c r="CN35" s="251"/>
      <c r="CO35" s="251"/>
      <c r="CP35" s="251"/>
      <c r="CQ35" s="251"/>
      <c r="CR35" s="251"/>
      <c r="CS35" s="251"/>
      <c r="CT35" s="251"/>
      <c r="CU35" s="251"/>
      <c r="CV35" s="251"/>
      <c r="CW35" s="251"/>
      <c r="CX35" s="251"/>
      <c r="CY35" s="251"/>
      <c r="CZ35" s="250"/>
      <c r="DA35" s="250"/>
      <c r="DB35" s="250"/>
      <c r="DC35" s="250"/>
      <c r="DD35" s="250"/>
      <c r="DE35" s="250"/>
      <c r="DF35" s="250"/>
      <c r="DG35" s="250"/>
    </row>
    <row r="36" spans="1:111" ht="15.5">
      <c r="A36" t="s">
        <v>415</v>
      </c>
      <c r="B36" s="223">
        <f>'TỔNG HỢP'!B36</f>
        <v>8966700330</v>
      </c>
      <c r="C36" s="223">
        <f>'TỔNG HỢP'!Q36</f>
        <v>0</v>
      </c>
      <c r="D36" s="223">
        <f>'TỔNG HỢP'!V36</f>
        <v>8966700330</v>
      </c>
      <c r="E36" s="223">
        <f>'TỔNG HỢP'!W36</f>
        <v>8161586611</v>
      </c>
      <c r="F36" s="223">
        <f>'TỔNG HỢP'!AK36</f>
        <v>805113719</v>
      </c>
      <c r="G36" s="223">
        <f>'TỔNG HỢP'!AT36</f>
        <v>564501666</v>
      </c>
      <c r="H36" s="223">
        <f>'TỔNG HỢP'!BH36</f>
        <v>0</v>
      </c>
      <c r="I36" s="223">
        <f>'TỔNG HỢP'!BY36</f>
        <v>0</v>
      </c>
      <c r="J36" s="223">
        <f>'TỔNG HỢP'!BZ36</f>
        <v>4434880472</v>
      </c>
      <c r="K36" s="223">
        <f>'TỔNG HỢP'!DA36</f>
        <v>-3065265087</v>
      </c>
      <c r="L36" s="223">
        <f>'TỔNG HỢP'!DB36</f>
        <v>0</v>
      </c>
      <c r="M36" s="223">
        <f>'TỔNG HỢP'!DC36</f>
        <v>0</v>
      </c>
      <c r="N36" s="223">
        <f>'TỔNG HỢP'!DD36</f>
        <v>0</v>
      </c>
      <c r="O36" s="223">
        <f>'TỔNG HỢP'!DE36</f>
        <v>-3065265087</v>
      </c>
      <c r="R36" s="223">
        <f>'TỔNG HỢP'!DH36</f>
        <v>-3065265087</v>
      </c>
      <c r="S36" s="251"/>
      <c r="T36" s="251"/>
      <c r="U36" s="251"/>
      <c r="V36" s="250"/>
      <c r="W36" s="250"/>
      <c r="X36" s="251"/>
      <c r="Y36" s="251"/>
      <c r="Z36" s="251"/>
      <c r="AA36" s="251"/>
      <c r="AB36" s="251"/>
      <c r="AC36" s="251"/>
      <c r="AD36" s="251"/>
      <c r="AE36" s="251"/>
      <c r="AF36" s="251"/>
      <c r="AG36" s="251"/>
      <c r="AH36" s="253"/>
      <c r="AI36" s="253"/>
      <c r="AJ36" s="190"/>
      <c r="AK36" s="250"/>
      <c r="AL36" s="251"/>
      <c r="AM36" s="251"/>
      <c r="AN36" s="251"/>
      <c r="AO36" s="251"/>
      <c r="AP36" s="252"/>
      <c r="AQ36" s="252"/>
      <c r="AR36" s="252"/>
      <c r="AS36" s="251"/>
      <c r="AT36" s="250"/>
      <c r="AU36" s="251"/>
      <c r="AV36" s="251"/>
      <c r="AW36" s="254"/>
      <c r="AX36" s="254"/>
      <c r="AY36" s="254"/>
      <c r="AZ36" s="254"/>
      <c r="BA36" s="254"/>
      <c r="BB36" s="254"/>
      <c r="BC36" s="251"/>
      <c r="BD36" s="254"/>
      <c r="BE36" s="254"/>
      <c r="BF36" s="254"/>
      <c r="BG36" s="254"/>
      <c r="BH36" s="250"/>
      <c r="BI36" s="251"/>
      <c r="BJ36" s="254"/>
      <c r="BK36" s="254"/>
      <c r="BL36" s="254"/>
      <c r="BM36" s="254"/>
      <c r="BN36" s="251"/>
      <c r="BO36" s="254"/>
      <c r="BP36" s="254"/>
      <c r="BQ36" s="254"/>
      <c r="BR36" s="254"/>
      <c r="BS36" s="254"/>
      <c r="BT36" s="254"/>
      <c r="BU36" s="254"/>
      <c r="BV36" s="254"/>
      <c r="BW36" s="254"/>
      <c r="BX36" s="251"/>
      <c r="BY36" s="250"/>
      <c r="BZ36" s="255"/>
      <c r="CA36" s="251"/>
      <c r="CB36" s="251"/>
      <c r="CC36" s="251"/>
      <c r="CD36" s="251"/>
      <c r="CE36" s="251"/>
      <c r="CF36" s="251"/>
      <c r="CG36" s="251"/>
      <c r="CH36" s="251"/>
      <c r="CI36" s="251"/>
      <c r="CJ36" s="251"/>
      <c r="CK36" s="251"/>
      <c r="CL36" s="251"/>
      <c r="CM36" s="251"/>
      <c r="CN36" s="251"/>
      <c r="CO36" s="251"/>
      <c r="CP36" s="251"/>
      <c r="CQ36" s="251"/>
      <c r="CR36" s="251"/>
      <c r="CS36" s="251"/>
      <c r="CT36" s="251"/>
      <c r="CU36" s="251"/>
      <c r="CV36" s="251"/>
      <c r="CW36" s="251"/>
      <c r="CX36" s="251"/>
      <c r="CY36" s="251"/>
      <c r="CZ36" s="250"/>
      <c r="DA36" s="250"/>
      <c r="DB36" s="250"/>
      <c r="DC36" s="250"/>
      <c r="DD36" s="250"/>
      <c r="DE36" s="250"/>
      <c r="DF36" s="250"/>
      <c r="DG36" s="250"/>
    </row>
    <row r="37" spans="1:111" ht="15.5">
      <c r="A37" t="s">
        <v>416</v>
      </c>
      <c r="B37" s="223">
        <f>'TỔNG HỢP'!B37</f>
        <v>12197004342</v>
      </c>
      <c r="C37" s="223">
        <f>'TỔNG HỢP'!Q37</f>
        <v>0</v>
      </c>
      <c r="D37" s="223">
        <f>'TỔNG HỢP'!V37</f>
        <v>12197004342</v>
      </c>
      <c r="E37" s="223">
        <f>'TỔNG HỢP'!W37</f>
        <v>10983417799</v>
      </c>
      <c r="F37" s="223">
        <f>'TỔNG HỢP'!AK37</f>
        <v>1213586543</v>
      </c>
      <c r="G37" s="223">
        <f>'TỔNG HỢP'!AT37</f>
        <v>7845004555</v>
      </c>
      <c r="H37" s="223">
        <f>'TỔNG HỢP'!BH37</f>
        <v>5076203097</v>
      </c>
      <c r="I37" s="223">
        <f>'TỔNG HỢP'!BY37</f>
        <v>0</v>
      </c>
      <c r="J37" s="223">
        <f>'TỔNG HỢP'!BZ37</f>
        <v>2499272472</v>
      </c>
      <c r="K37" s="223">
        <f>'TỔNG HỢP'!DA37</f>
        <v>1483115529</v>
      </c>
      <c r="L37" s="223">
        <f>'TỔNG HỢP'!DB37</f>
        <v>0</v>
      </c>
      <c r="M37" s="223">
        <f>'TỔNG HỢP'!DC37</f>
        <v>0</v>
      </c>
      <c r="N37" s="223">
        <f>'TỔNG HỢP'!DD37</f>
        <v>0</v>
      </c>
      <c r="O37" s="223">
        <f>'TỔNG HỢP'!DE37</f>
        <v>1483115529</v>
      </c>
      <c r="R37" s="223">
        <f>'TỔNG HỢP'!DH37</f>
        <v>1483115529</v>
      </c>
      <c r="S37" s="251"/>
      <c r="T37" s="251"/>
      <c r="U37" s="251"/>
      <c r="V37" s="250"/>
      <c r="W37" s="250"/>
      <c r="X37" s="251"/>
      <c r="Y37" s="251"/>
      <c r="Z37" s="251"/>
      <c r="AA37" s="251"/>
      <c r="AB37" s="251"/>
      <c r="AC37" s="251"/>
      <c r="AD37" s="251"/>
      <c r="AE37" s="251"/>
      <c r="AF37" s="251"/>
      <c r="AG37" s="251"/>
      <c r="AH37" s="253"/>
      <c r="AI37" s="253"/>
      <c r="AJ37" s="190"/>
      <c r="AK37" s="250"/>
      <c r="AL37" s="251"/>
      <c r="AM37" s="251"/>
      <c r="AN37" s="251"/>
      <c r="AO37" s="251"/>
      <c r="AP37" s="252"/>
      <c r="AQ37" s="252"/>
      <c r="AR37" s="252"/>
      <c r="AS37" s="251"/>
      <c r="AT37" s="250"/>
      <c r="AU37" s="251"/>
      <c r="AV37" s="251"/>
      <c r="AW37" s="254"/>
      <c r="AX37" s="254"/>
      <c r="AY37" s="254"/>
      <c r="AZ37" s="254"/>
      <c r="BA37" s="254"/>
      <c r="BB37" s="254"/>
      <c r="BC37" s="251"/>
      <c r="BD37" s="254"/>
      <c r="BE37" s="254"/>
      <c r="BF37" s="254"/>
      <c r="BG37" s="254"/>
      <c r="BH37" s="250"/>
      <c r="BI37" s="251"/>
      <c r="BJ37" s="254"/>
      <c r="BK37" s="254"/>
      <c r="BL37" s="254"/>
      <c r="BM37" s="254"/>
      <c r="BN37" s="251"/>
      <c r="BO37" s="254"/>
      <c r="BP37" s="254"/>
      <c r="BQ37" s="254"/>
      <c r="BR37" s="254"/>
      <c r="BS37" s="254"/>
      <c r="BT37" s="254"/>
      <c r="BU37" s="254"/>
      <c r="BV37" s="254"/>
      <c r="BW37" s="254"/>
      <c r="BX37" s="251"/>
      <c r="BY37" s="250"/>
      <c r="BZ37" s="255"/>
      <c r="CA37" s="251"/>
      <c r="CB37" s="251"/>
      <c r="CC37" s="251"/>
      <c r="CD37" s="251"/>
      <c r="CE37" s="251"/>
      <c r="CF37" s="251"/>
      <c r="CG37" s="251"/>
      <c r="CH37" s="251"/>
      <c r="CI37" s="251"/>
      <c r="CJ37" s="251"/>
      <c r="CK37" s="251"/>
      <c r="CL37" s="251"/>
      <c r="CM37" s="251"/>
      <c r="CN37" s="251"/>
      <c r="CO37" s="251"/>
      <c r="CP37" s="251"/>
      <c r="CQ37" s="251"/>
      <c r="CR37" s="251"/>
      <c r="CS37" s="251"/>
      <c r="CT37" s="251"/>
      <c r="CU37" s="251"/>
      <c r="CV37" s="251"/>
      <c r="CW37" s="251"/>
      <c r="CX37" s="251"/>
      <c r="CY37" s="251"/>
      <c r="CZ37" s="250"/>
      <c r="DA37" s="250"/>
      <c r="DB37" s="250"/>
      <c r="DC37" s="250"/>
      <c r="DD37" s="250"/>
      <c r="DE37" s="250"/>
      <c r="DF37" s="250"/>
      <c r="DG37" s="2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DI25"/>
  <sheetViews>
    <sheetView topLeftCell="CY10" workbookViewId="0">
      <selection activeCell="DH14" sqref="DH14:DH25"/>
    </sheetView>
  </sheetViews>
  <sheetFormatPr defaultRowHeight="14.5"/>
  <cols>
    <col min="1" max="1" width="17.54296875" customWidth="1"/>
    <col min="2" max="3" width="19.54296875" bestFit="1" customWidth="1"/>
    <col min="4" max="5" width="18.453125" bestFit="1" customWidth="1"/>
    <col min="6" max="6" width="19.54296875" bestFit="1" customWidth="1"/>
    <col min="7" max="7" width="18.453125" bestFit="1" customWidth="1"/>
    <col min="8" max="8" width="19.54296875" bestFit="1" customWidth="1"/>
    <col min="9" max="9" width="18.453125" bestFit="1" customWidth="1"/>
    <col min="10" max="10" width="13.81640625" bestFit="1" customWidth="1"/>
    <col min="11" max="11" width="18.453125" bestFit="1" customWidth="1"/>
    <col min="12" max="12" width="16.7265625" bestFit="1" customWidth="1"/>
    <col min="13" max="13" width="8.36328125" bestFit="1" customWidth="1"/>
    <col min="14" max="14" width="15.6328125" bestFit="1" customWidth="1"/>
    <col min="15" max="15" width="16.7265625" bestFit="1" customWidth="1"/>
    <col min="16" max="16" width="12.36328125" bestFit="1" customWidth="1"/>
    <col min="17" max="17" width="10.36328125" bestFit="1" customWidth="1"/>
    <col min="18" max="18" width="7.453125" bestFit="1" customWidth="1"/>
    <col min="19" max="20" width="10.36328125" bestFit="1" customWidth="1"/>
    <col min="21" max="21" width="8.54296875" bestFit="1" customWidth="1"/>
    <col min="22" max="23" width="18.81640625" bestFit="1" customWidth="1"/>
    <col min="24" max="26" width="17.7265625" bestFit="1" customWidth="1"/>
    <col min="27" max="27" width="18.81640625" bestFit="1" customWidth="1"/>
    <col min="28" max="28" width="17.7265625" bestFit="1" customWidth="1"/>
    <col min="29" max="29" width="18.81640625" bestFit="1" customWidth="1"/>
    <col min="30" max="30" width="17.7265625" bestFit="1" customWidth="1"/>
    <col min="31" max="31" width="13.81640625" bestFit="1" customWidth="1"/>
    <col min="32" max="32" width="17.7265625" bestFit="1" customWidth="1"/>
    <col min="33" max="33" width="13.81640625" bestFit="1" customWidth="1"/>
    <col min="34" max="34" width="8.36328125" bestFit="1" customWidth="1"/>
    <col min="35" max="35" width="14.54296875" bestFit="1" customWidth="1"/>
    <col min="36" max="36" width="12.36328125" bestFit="1" customWidth="1"/>
    <col min="37" max="37" width="17.7265625" bestFit="1" customWidth="1"/>
    <col min="38" max="38" width="16" bestFit="1" customWidth="1"/>
    <col min="39" max="39" width="17.7265625" bestFit="1" customWidth="1"/>
    <col min="40" max="41" width="16" bestFit="1" customWidth="1"/>
    <col min="42" max="42" width="8.6328125" bestFit="1" customWidth="1"/>
    <col min="43" max="44" width="15.6328125" bestFit="1" customWidth="1"/>
    <col min="45" max="45" width="8.36328125" bestFit="1" customWidth="1"/>
    <col min="46" max="46" width="19.90625" bestFit="1" customWidth="1"/>
    <col min="47" max="48" width="17.7265625" bestFit="1" customWidth="1"/>
    <col min="49" max="50" width="16.7265625" bestFit="1" customWidth="1"/>
    <col min="51" max="51" width="18.453125" bestFit="1" customWidth="1"/>
    <col min="52" max="52" width="15.6328125" bestFit="1" customWidth="1"/>
    <col min="53" max="53" width="16.7265625" bestFit="1" customWidth="1"/>
    <col min="54" max="54" width="18.453125" bestFit="1" customWidth="1"/>
    <col min="55" max="55" width="8.54296875" bestFit="1" customWidth="1"/>
    <col min="56" max="57" width="13.81640625" bestFit="1" customWidth="1"/>
    <col min="58" max="58" width="15.453125" bestFit="1" customWidth="1"/>
    <col min="59" max="59" width="20.6328125" bestFit="1" customWidth="1"/>
    <col min="60" max="60" width="17.7265625" bestFit="1" customWidth="1"/>
    <col min="61" max="61" width="11.36328125" bestFit="1" customWidth="1"/>
    <col min="62" max="62" width="8.453125" bestFit="1" customWidth="1"/>
    <col min="63" max="63" width="13.81640625" bestFit="1" customWidth="1"/>
    <col min="64" max="65" width="15.453125" bestFit="1" customWidth="1"/>
    <col min="66" max="66" width="17.7265625" bestFit="1" customWidth="1"/>
    <col min="67" max="67" width="18.453125" bestFit="1" customWidth="1"/>
    <col min="68" max="68" width="19.1796875" bestFit="1" customWidth="1"/>
    <col min="69" max="69" width="18.453125" bestFit="1" customWidth="1"/>
    <col min="70" max="70" width="12.1796875" bestFit="1" customWidth="1"/>
    <col min="71" max="71" width="15.453125" bestFit="1" customWidth="1"/>
    <col min="72" max="72" width="8.1796875" bestFit="1" customWidth="1"/>
    <col min="73" max="73" width="7.54296875" bestFit="1" customWidth="1"/>
    <col min="74" max="74" width="14.81640625" bestFit="1" customWidth="1"/>
    <col min="75" max="75" width="12.1796875" bestFit="1" customWidth="1"/>
    <col min="76" max="77" width="16.26953125" bestFit="1" customWidth="1"/>
    <col min="78" max="79" width="17.7265625" bestFit="1" customWidth="1"/>
    <col min="80" max="80" width="16" bestFit="1" customWidth="1"/>
    <col min="81" max="81" width="13.81640625" bestFit="1" customWidth="1"/>
    <col min="82" max="82" width="14.90625" bestFit="1" customWidth="1"/>
    <col min="83" max="84" width="13.81640625" bestFit="1" customWidth="1"/>
    <col min="85" max="85" width="14.90625" bestFit="1" customWidth="1"/>
    <col min="86" max="86" width="12.6328125" bestFit="1" customWidth="1"/>
    <col min="87" max="87" width="14.90625" bestFit="1" customWidth="1"/>
    <col min="88" max="88" width="13.81640625" bestFit="1" customWidth="1"/>
    <col min="89" max="89" width="16" bestFit="1" customWidth="1"/>
    <col min="90" max="90" width="13.81640625" bestFit="1" customWidth="1"/>
    <col min="91" max="92" width="14.90625" bestFit="1" customWidth="1"/>
    <col min="93" max="93" width="16" bestFit="1" customWidth="1"/>
    <col min="94" max="94" width="14.81640625" bestFit="1" customWidth="1"/>
    <col min="95" max="95" width="14.90625" bestFit="1" customWidth="1"/>
    <col min="96" max="96" width="16" bestFit="1" customWidth="1"/>
    <col min="97" max="97" width="16.26953125" bestFit="1" customWidth="1"/>
    <col min="98" max="98" width="14.90625" bestFit="1" customWidth="1"/>
    <col min="99" max="99" width="17.7265625" bestFit="1" customWidth="1"/>
    <col min="100" max="100" width="14.90625" bestFit="1" customWidth="1"/>
    <col min="101" max="101" width="16" bestFit="1" customWidth="1"/>
    <col min="102" max="102" width="15.6328125" bestFit="1" customWidth="1"/>
    <col min="103" max="103" width="17.81640625" bestFit="1" customWidth="1"/>
    <col min="104" max="104" width="16.08984375" bestFit="1" customWidth="1"/>
    <col min="105" max="105" width="19.90625" bestFit="1" customWidth="1"/>
    <col min="106" max="106" width="16.08984375" bestFit="1" customWidth="1"/>
    <col min="107" max="107" width="15.6328125" bestFit="1" customWidth="1"/>
    <col min="108" max="108" width="8.90625" bestFit="1" customWidth="1"/>
    <col min="109" max="109" width="19.90625" bestFit="1" customWidth="1"/>
    <col min="110" max="110" width="15.453125" bestFit="1" customWidth="1"/>
    <col min="112" max="112" width="18.54296875" bestFit="1" customWidth="1"/>
  </cols>
  <sheetData>
    <row r="1" spans="1:113" s="209" customFormat="1" ht="86.5" customHeight="1">
      <c r="B1" s="209" t="s">
        <v>153</v>
      </c>
      <c r="C1" s="209" t="s">
        <v>154</v>
      </c>
      <c r="D1" s="209" t="s">
        <v>272</v>
      </c>
      <c r="E1" s="209" t="s">
        <v>273</v>
      </c>
      <c r="F1" s="209" t="s">
        <v>155</v>
      </c>
      <c r="G1" s="209" t="s">
        <v>274</v>
      </c>
      <c r="H1" s="209" t="s">
        <v>275</v>
      </c>
      <c r="I1" s="209" t="s">
        <v>156</v>
      </c>
      <c r="J1" s="209" t="s">
        <v>157</v>
      </c>
      <c r="K1" s="209" t="s">
        <v>158</v>
      </c>
      <c r="L1" s="209" t="s">
        <v>159</v>
      </c>
      <c r="M1" s="209" t="s">
        <v>160</v>
      </c>
      <c r="N1" s="209" t="s">
        <v>161</v>
      </c>
      <c r="O1" s="209" t="s">
        <v>162</v>
      </c>
      <c r="P1" s="209" t="s">
        <v>163</v>
      </c>
      <c r="Q1" s="209" t="s">
        <v>164</v>
      </c>
      <c r="R1" s="209" t="s">
        <v>165</v>
      </c>
      <c r="S1" s="209" t="s">
        <v>166</v>
      </c>
      <c r="T1" s="209" t="s">
        <v>167</v>
      </c>
      <c r="U1" s="209" t="s">
        <v>168</v>
      </c>
      <c r="V1" s="209" t="s">
        <v>169</v>
      </c>
      <c r="W1" s="209" t="s">
        <v>170</v>
      </c>
      <c r="X1" s="209" t="s">
        <v>171</v>
      </c>
      <c r="Y1" s="209" t="s">
        <v>276</v>
      </c>
      <c r="Z1" s="209" t="s">
        <v>277</v>
      </c>
      <c r="AA1" s="209" t="s">
        <v>172</v>
      </c>
      <c r="AB1" s="209" t="s">
        <v>278</v>
      </c>
      <c r="AC1" s="209" t="s">
        <v>279</v>
      </c>
      <c r="AD1" s="209" t="s">
        <v>173</v>
      </c>
      <c r="AE1" s="209" t="s">
        <v>174</v>
      </c>
      <c r="AF1" s="209" t="s">
        <v>175</v>
      </c>
      <c r="AG1" s="209" t="s">
        <v>176</v>
      </c>
      <c r="AH1" s="209" t="s">
        <v>177</v>
      </c>
      <c r="AI1" s="209" t="s">
        <v>178</v>
      </c>
      <c r="AJ1" s="209" t="s">
        <v>179</v>
      </c>
      <c r="AK1" s="209" t="s">
        <v>180</v>
      </c>
      <c r="AL1" s="209" t="s">
        <v>181</v>
      </c>
      <c r="AM1" s="209" t="s">
        <v>182</v>
      </c>
      <c r="AN1" s="209" t="s">
        <v>183</v>
      </c>
      <c r="AO1" s="209" t="s">
        <v>184</v>
      </c>
      <c r="AP1" s="209" t="s">
        <v>185</v>
      </c>
      <c r="AQ1" s="209" t="s">
        <v>186</v>
      </c>
      <c r="AR1" s="209" t="s">
        <v>187</v>
      </c>
      <c r="AS1" s="209" t="s">
        <v>188</v>
      </c>
      <c r="AT1" s="209" t="s">
        <v>189</v>
      </c>
      <c r="AU1" s="209" t="s">
        <v>190</v>
      </c>
      <c r="AV1" s="209" t="s">
        <v>191</v>
      </c>
      <c r="AW1" s="209" t="s">
        <v>192</v>
      </c>
      <c r="AX1" s="209" t="s">
        <v>193</v>
      </c>
      <c r="AY1" s="209" t="s">
        <v>194</v>
      </c>
      <c r="AZ1" s="209" t="s">
        <v>195</v>
      </c>
      <c r="BA1" s="258" t="s">
        <v>402</v>
      </c>
      <c r="BB1" s="258" t="s">
        <v>478</v>
      </c>
      <c r="BC1" s="209" t="s">
        <v>196</v>
      </c>
      <c r="BD1" s="209" t="s">
        <v>197</v>
      </c>
      <c r="BE1" s="209" t="s">
        <v>198</v>
      </c>
      <c r="BF1" s="209" t="s">
        <v>199</v>
      </c>
      <c r="BG1" s="209" t="s">
        <v>200</v>
      </c>
      <c r="BH1" s="209" t="s">
        <v>201</v>
      </c>
      <c r="BI1" s="209" t="s">
        <v>202</v>
      </c>
      <c r="BJ1" s="209" t="s">
        <v>203</v>
      </c>
      <c r="BK1" s="209" t="s">
        <v>204</v>
      </c>
      <c r="BL1" s="209" t="s">
        <v>205</v>
      </c>
      <c r="BM1" s="209" t="s">
        <v>206</v>
      </c>
      <c r="BN1" s="209" t="s">
        <v>207</v>
      </c>
      <c r="BO1" s="209" t="s">
        <v>208</v>
      </c>
      <c r="BP1" s="209" t="s">
        <v>209</v>
      </c>
      <c r="BQ1" s="209" t="s">
        <v>210</v>
      </c>
      <c r="BR1" s="209" t="s">
        <v>211</v>
      </c>
      <c r="BS1" s="209" t="s">
        <v>212</v>
      </c>
      <c r="BT1" s="209" t="s">
        <v>213</v>
      </c>
      <c r="BU1" s="209" t="s">
        <v>214</v>
      </c>
      <c r="BV1" s="209" t="s">
        <v>215</v>
      </c>
      <c r="BW1" s="209" t="s">
        <v>216</v>
      </c>
      <c r="BX1" s="209" t="s">
        <v>217</v>
      </c>
      <c r="BY1" s="209" t="s">
        <v>218</v>
      </c>
      <c r="BZ1" s="209" t="s">
        <v>6</v>
      </c>
      <c r="CA1" s="209" t="s">
        <v>8</v>
      </c>
      <c r="CB1" s="209" t="s">
        <v>219</v>
      </c>
      <c r="CC1" s="209" t="s">
        <v>45</v>
      </c>
      <c r="CD1" s="209" t="s">
        <v>50</v>
      </c>
      <c r="CE1" s="209" t="s">
        <v>52</v>
      </c>
      <c r="CF1" s="209" t="s">
        <v>220</v>
      </c>
      <c r="CG1" s="209" t="s">
        <v>221</v>
      </c>
      <c r="CH1" s="209" t="s">
        <v>222</v>
      </c>
      <c r="CI1" s="209" t="s">
        <v>61</v>
      </c>
      <c r="CJ1" s="209" t="s">
        <v>223</v>
      </c>
      <c r="CK1" s="209" t="s">
        <v>81</v>
      </c>
      <c r="CL1" s="209" t="s">
        <v>224</v>
      </c>
      <c r="CM1" s="209" t="s">
        <v>84</v>
      </c>
      <c r="CN1" s="209" t="s">
        <v>87</v>
      </c>
      <c r="CO1" s="209" t="s">
        <v>99</v>
      </c>
      <c r="CP1" s="209" t="s">
        <v>100</v>
      </c>
      <c r="CQ1" s="209" t="s">
        <v>98</v>
      </c>
      <c r="CR1" s="209" t="s">
        <v>101</v>
      </c>
      <c r="CS1" s="209" t="s">
        <v>113</v>
      </c>
      <c r="CT1" s="209" t="s">
        <v>120</v>
      </c>
      <c r="CU1" s="209" t="s">
        <v>123</v>
      </c>
      <c r="CV1" s="209" t="s">
        <v>110</v>
      </c>
      <c r="CW1" s="209" t="s">
        <v>129</v>
      </c>
      <c r="CX1" s="209" t="s">
        <v>136</v>
      </c>
      <c r="CY1" s="209" t="s">
        <v>492</v>
      </c>
      <c r="CZ1" s="209" t="s">
        <v>135</v>
      </c>
      <c r="DA1" s="209" t="s">
        <v>225</v>
      </c>
      <c r="DB1" s="209" t="s">
        <v>226</v>
      </c>
      <c r="DC1" s="209" t="s">
        <v>227</v>
      </c>
      <c r="DD1" s="209" t="s">
        <v>228</v>
      </c>
      <c r="DE1" s="209" t="s">
        <v>229</v>
      </c>
      <c r="DF1" s="209" t="s">
        <v>230</v>
      </c>
      <c r="DG1" s="209" t="s">
        <v>231</v>
      </c>
      <c r="DH1" s="209" t="s">
        <v>232</v>
      </c>
    </row>
    <row r="2" spans="1:113">
      <c r="A2" t="s">
        <v>292</v>
      </c>
      <c r="B2" s="208">
        <v>13890604830.935463</v>
      </c>
      <c r="C2" s="208">
        <v>4922924815.935463</v>
      </c>
      <c r="D2" s="208">
        <v>4922924815.935463</v>
      </c>
      <c r="E2" s="208">
        <v>0</v>
      </c>
      <c r="F2" s="208">
        <v>2374483990</v>
      </c>
      <c r="G2" s="208">
        <v>2374483990</v>
      </c>
      <c r="H2" s="208">
        <v>0</v>
      </c>
      <c r="I2" s="208">
        <v>6508273987</v>
      </c>
      <c r="J2" s="208">
        <v>3088804480</v>
      </c>
      <c r="K2" s="208">
        <v>3419469507</v>
      </c>
      <c r="L2" s="208">
        <v>0</v>
      </c>
      <c r="M2" s="208"/>
      <c r="N2" s="208">
        <v>0</v>
      </c>
      <c r="O2" s="208">
        <v>0</v>
      </c>
      <c r="P2" s="208">
        <v>84922038</v>
      </c>
      <c r="Q2" s="208">
        <v>0</v>
      </c>
      <c r="R2" s="208"/>
      <c r="S2" s="208">
        <v>0</v>
      </c>
      <c r="T2" s="208">
        <v>0</v>
      </c>
      <c r="U2" s="208"/>
      <c r="V2" s="208">
        <v>13890604830.935463</v>
      </c>
      <c r="W2" s="208">
        <v>11818080170.762638</v>
      </c>
      <c r="X2" s="208">
        <v>4424899261.7626371</v>
      </c>
      <c r="Y2" s="208">
        <v>4424899261.7626371</v>
      </c>
      <c r="Z2" s="208">
        <v>0</v>
      </c>
      <c r="AA2" s="208">
        <v>2182543104</v>
      </c>
      <c r="AB2" s="208">
        <v>2182543104</v>
      </c>
      <c r="AC2" s="208">
        <v>0</v>
      </c>
      <c r="AD2" s="208">
        <v>5121997585</v>
      </c>
      <c r="AE2" s="208">
        <v>2098069000</v>
      </c>
      <c r="AF2" s="208">
        <v>3023928585</v>
      </c>
      <c r="AG2" s="208">
        <v>3718182</v>
      </c>
      <c r="AH2" s="208">
        <v>0</v>
      </c>
      <c r="AI2" s="208">
        <v>3718182</v>
      </c>
      <c r="AJ2" s="208">
        <v>84922038</v>
      </c>
      <c r="AK2" s="208">
        <v>2072524660.1728258</v>
      </c>
      <c r="AL2" s="208">
        <v>498025554.17282581</v>
      </c>
      <c r="AM2" s="208">
        <v>191940886</v>
      </c>
      <c r="AN2" s="208">
        <v>1386276402</v>
      </c>
      <c r="AO2" s="208">
        <v>-3718182</v>
      </c>
      <c r="AP2" s="208">
        <v>0</v>
      </c>
      <c r="AQ2" s="208">
        <v>0</v>
      </c>
      <c r="AR2" s="208">
        <v>-3718182</v>
      </c>
      <c r="AS2" s="208">
        <v>0</v>
      </c>
      <c r="AT2" s="208">
        <v>623897520.90425789</v>
      </c>
      <c r="AU2" s="208">
        <v>42542465.753424659</v>
      </c>
      <c r="AV2" s="208">
        <v>581355055.15083325</v>
      </c>
      <c r="AW2" s="208">
        <v>581355055.15083325</v>
      </c>
      <c r="AX2" s="208"/>
      <c r="AY2" s="208"/>
      <c r="AZ2" s="208"/>
      <c r="BA2" s="208"/>
      <c r="BB2" s="208"/>
      <c r="BC2" s="208">
        <v>0</v>
      </c>
      <c r="BD2" s="208"/>
      <c r="BE2" s="208"/>
      <c r="BF2" s="208"/>
      <c r="BG2" s="208">
        <v>0</v>
      </c>
      <c r="BH2" s="208">
        <v>0</v>
      </c>
      <c r="BI2" s="208">
        <v>0</v>
      </c>
      <c r="BJ2" s="208"/>
      <c r="BK2" s="208"/>
      <c r="BL2" s="208"/>
      <c r="BM2" s="208"/>
      <c r="BN2" s="208">
        <v>0</v>
      </c>
      <c r="BO2" s="208"/>
      <c r="BP2" s="208"/>
      <c r="BQ2" s="208"/>
      <c r="BR2" s="208"/>
      <c r="BS2" s="208"/>
      <c r="BT2" s="208"/>
      <c r="BU2" s="208"/>
      <c r="BV2" s="208"/>
      <c r="BW2" s="208"/>
      <c r="BX2" s="208">
        <v>0</v>
      </c>
      <c r="BY2" s="208">
        <v>11204937</v>
      </c>
      <c r="BZ2" s="208">
        <v>1487074320.2592592</v>
      </c>
      <c r="CA2" s="208">
        <v>783233742</v>
      </c>
      <c r="CB2" s="208">
        <v>87500000</v>
      </c>
      <c r="CC2" s="208">
        <v>7208725</v>
      </c>
      <c r="CD2" s="208">
        <v>10757727</v>
      </c>
      <c r="CE2" s="208">
        <v>8000000</v>
      </c>
      <c r="CF2" s="208">
        <v>2000000</v>
      </c>
      <c r="CG2" s="208">
        <v>2000000</v>
      </c>
      <c r="CH2" s="208">
        <v>185185.18518518517</v>
      </c>
      <c r="CI2" s="208">
        <v>10410718</v>
      </c>
      <c r="CJ2" s="208">
        <v>5092592.5925925924</v>
      </c>
      <c r="CK2" s="208">
        <v>173439630</v>
      </c>
      <c r="CL2" s="208">
        <v>3090000</v>
      </c>
      <c r="CM2" s="208">
        <v>0</v>
      </c>
      <c r="CN2" s="208">
        <v>51072667</v>
      </c>
      <c r="CO2" s="208">
        <v>0</v>
      </c>
      <c r="CP2" s="208">
        <v>0</v>
      </c>
      <c r="CQ2" s="208">
        <v>17000000</v>
      </c>
      <c r="CR2" s="208">
        <v>185851852</v>
      </c>
      <c r="CS2" s="208">
        <v>0</v>
      </c>
      <c r="CT2" s="208">
        <v>0</v>
      </c>
      <c r="CU2" s="208">
        <v>125416666.66666667</v>
      </c>
      <c r="CV2" s="208">
        <v>14814814.814814813</v>
      </c>
      <c r="CW2" s="208">
        <v>0</v>
      </c>
      <c r="CX2" s="208">
        <v>0</v>
      </c>
      <c r="CY2" s="208"/>
      <c r="CZ2" s="208">
        <v>0</v>
      </c>
      <c r="DA2" s="208">
        <v>1198142923.8178244</v>
      </c>
      <c r="DB2" s="208">
        <v>0</v>
      </c>
      <c r="DC2" s="208">
        <v>0</v>
      </c>
      <c r="DD2" s="208">
        <v>0</v>
      </c>
      <c r="DE2" s="208">
        <v>1198142923.8178244</v>
      </c>
      <c r="DF2" s="208"/>
      <c r="DG2" s="208"/>
      <c r="DH2" s="208">
        <v>1198142923.8178244</v>
      </c>
    </row>
    <row r="3" spans="1:113">
      <c r="A3" t="s">
        <v>293</v>
      </c>
      <c r="B3" s="208">
        <v>6795929365.9970474</v>
      </c>
      <c r="C3" s="208">
        <v>4848335045.9970474</v>
      </c>
      <c r="D3" s="208">
        <v>4848335045.9970474</v>
      </c>
      <c r="E3" s="208">
        <v>0</v>
      </c>
      <c r="F3" s="208">
        <v>1761977800</v>
      </c>
      <c r="G3" s="208">
        <v>1761977800</v>
      </c>
      <c r="H3" s="208">
        <v>0</v>
      </c>
      <c r="I3" s="208">
        <v>185616520</v>
      </c>
      <c r="J3" s="208">
        <v>157338720</v>
      </c>
      <c r="K3" s="208">
        <v>28277800</v>
      </c>
      <c r="L3" s="208">
        <v>0</v>
      </c>
      <c r="M3" s="208"/>
      <c r="N3" s="208">
        <v>0</v>
      </c>
      <c r="O3" s="208">
        <v>0</v>
      </c>
      <c r="P3" s="208">
        <v>0</v>
      </c>
      <c r="Q3" s="208">
        <v>0</v>
      </c>
      <c r="R3" s="208"/>
      <c r="S3" s="208">
        <v>0</v>
      </c>
      <c r="T3" s="208">
        <v>0</v>
      </c>
      <c r="U3" s="208"/>
      <c r="V3" s="208">
        <v>6795929365.9970474</v>
      </c>
      <c r="W3" s="208">
        <v>6140208113.5541124</v>
      </c>
      <c r="X3" s="208">
        <v>4357855333.5541124</v>
      </c>
      <c r="Y3" s="208">
        <v>4357855333.5541124</v>
      </c>
      <c r="Z3" s="208">
        <v>0</v>
      </c>
      <c r="AA3" s="208">
        <v>1615042488</v>
      </c>
      <c r="AB3" s="208">
        <v>1615042488</v>
      </c>
      <c r="AC3" s="208">
        <v>0</v>
      </c>
      <c r="AD3" s="208">
        <v>163592110</v>
      </c>
      <c r="AE3" s="208">
        <v>140481000</v>
      </c>
      <c r="AF3" s="208">
        <v>23111110</v>
      </c>
      <c r="AG3" s="208">
        <v>3718182</v>
      </c>
      <c r="AH3" s="208">
        <v>0</v>
      </c>
      <c r="AI3" s="208">
        <v>3718182</v>
      </c>
      <c r="AJ3" s="208">
        <v>0</v>
      </c>
      <c r="AK3" s="208">
        <v>655721252.44293499</v>
      </c>
      <c r="AL3" s="208">
        <v>490479712.44293499</v>
      </c>
      <c r="AM3" s="208">
        <v>146935312</v>
      </c>
      <c r="AN3" s="208">
        <v>22024410</v>
      </c>
      <c r="AO3" s="208">
        <v>-3718182</v>
      </c>
      <c r="AP3" s="208">
        <v>0</v>
      </c>
      <c r="AQ3" s="208">
        <v>0</v>
      </c>
      <c r="AR3" s="208">
        <v>-3718182</v>
      </c>
      <c r="AS3" s="208">
        <v>0</v>
      </c>
      <c r="AT3" s="208">
        <v>643305847.42744279</v>
      </c>
      <c r="AU3" s="208">
        <v>118210958.90410958</v>
      </c>
      <c r="AV3" s="208">
        <v>525094888.52333325</v>
      </c>
      <c r="AW3" s="208">
        <v>525094888.52333325</v>
      </c>
      <c r="AX3" s="208"/>
      <c r="AY3" s="208"/>
      <c r="AZ3" s="208"/>
      <c r="BA3" s="208"/>
      <c r="BB3" s="208"/>
      <c r="BC3" s="208">
        <v>0</v>
      </c>
      <c r="BD3" s="208"/>
      <c r="BE3" s="208"/>
      <c r="BF3" s="208"/>
      <c r="BG3" s="208">
        <v>0</v>
      </c>
      <c r="BH3" s="208">
        <v>0</v>
      </c>
      <c r="BI3" s="208">
        <v>0</v>
      </c>
      <c r="BJ3" s="208"/>
      <c r="BK3" s="208"/>
      <c r="BL3" s="208"/>
      <c r="BM3" s="208"/>
      <c r="BN3" s="208">
        <v>0</v>
      </c>
      <c r="BO3" s="208"/>
      <c r="BP3" s="208"/>
      <c r="BQ3" s="208"/>
      <c r="BR3" s="208"/>
      <c r="BS3" s="208"/>
      <c r="BT3" s="208"/>
      <c r="BU3" s="208"/>
      <c r="BV3" s="208"/>
      <c r="BW3" s="208"/>
      <c r="BX3" s="208">
        <v>0</v>
      </c>
      <c r="BY3" s="208">
        <v>0</v>
      </c>
      <c r="BZ3" s="208">
        <v>1493627178.2592592</v>
      </c>
      <c r="CA3" s="208">
        <v>695470600</v>
      </c>
      <c r="CB3" s="208">
        <v>90000000</v>
      </c>
      <c r="CC3" s="208">
        <v>7208725</v>
      </c>
      <c r="CD3" s="208">
        <v>10757727</v>
      </c>
      <c r="CE3" s="208">
        <v>4000000</v>
      </c>
      <c r="CF3" s="208">
        <v>2000000</v>
      </c>
      <c r="CG3" s="208">
        <v>2000000</v>
      </c>
      <c r="CH3" s="208">
        <v>185185.18518518517</v>
      </c>
      <c r="CI3" s="208">
        <v>11578570</v>
      </c>
      <c r="CJ3" s="208">
        <v>5092592.5925925924</v>
      </c>
      <c r="CK3" s="208">
        <v>173439630</v>
      </c>
      <c r="CL3" s="208">
        <v>3090000</v>
      </c>
      <c r="CM3" s="208">
        <v>0</v>
      </c>
      <c r="CN3" s="208">
        <v>46572667</v>
      </c>
      <c r="CO3" s="208">
        <v>0</v>
      </c>
      <c r="CP3" s="208">
        <v>10000000</v>
      </c>
      <c r="CQ3" s="208">
        <v>17000000</v>
      </c>
      <c r="CR3" s="208">
        <v>235000000</v>
      </c>
      <c r="CS3" s="208">
        <v>40000000</v>
      </c>
      <c r="CT3" s="208">
        <v>0</v>
      </c>
      <c r="CU3" s="208">
        <v>125416666.66666667</v>
      </c>
      <c r="CV3" s="208">
        <v>14814814.814814813</v>
      </c>
      <c r="CW3" s="208">
        <v>0</v>
      </c>
      <c r="CX3" s="208">
        <v>0</v>
      </c>
      <c r="CY3" s="208"/>
      <c r="CZ3" s="208">
        <v>0</v>
      </c>
      <c r="DA3" s="208">
        <v>-194600078.38888144</v>
      </c>
      <c r="DB3" s="208">
        <v>0</v>
      </c>
      <c r="DC3" s="208">
        <v>0</v>
      </c>
      <c r="DD3" s="208">
        <v>0</v>
      </c>
      <c r="DE3" s="208">
        <v>-194600078.38888144</v>
      </c>
      <c r="DF3" s="208"/>
      <c r="DG3" s="208"/>
      <c r="DH3" s="208">
        <v>-194600078.38888144</v>
      </c>
    </row>
    <row r="4" spans="1:113">
      <c r="A4" t="s">
        <v>294</v>
      </c>
      <c r="B4" s="208">
        <v>8764185916.8881626</v>
      </c>
      <c r="C4" s="208">
        <v>6116361134.9501219</v>
      </c>
      <c r="D4" s="208">
        <v>6116361134.9501219</v>
      </c>
      <c r="E4" s="208">
        <v>0</v>
      </c>
      <c r="F4" s="208">
        <v>2550942317.9380407</v>
      </c>
      <c r="G4" s="208">
        <v>2550942317.9380407</v>
      </c>
      <c r="H4" s="208">
        <v>0</v>
      </c>
      <c r="I4" s="208">
        <v>0</v>
      </c>
      <c r="J4" s="208">
        <v>0</v>
      </c>
      <c r="K4" s="208">
        <v>0</v>
      </c>
      <c r="L4" s="208">
        <v>96882464</v>
      </c>
      <c r="M4" s="208"/>
      <c r="N4" s="208">
        <v>40000000</v>
      </c>
      <c r="O4" s="208">
        <v>56882464</v>
      </c>
      <c r="P4" s="208">
        <v>0</v>
      </c>
      <c r="Q4" s="208">
        <v>0</v>
      </c>
      <c r="R4" s="208"/>
      <c r="S4" s="208">
        <v>0</v>
      </c>
      <c r="T4" s="208">
        <v>0</v>
      </c>
      <c r="U4" s="208"/>
      <c r="V4" s="208">
        <v>8764185916.8881626</v>
      </c>
      <c r="W4" s="208">
        <v>7895347085.6115074</v>
      </c>
      <c r="X4" s="208">
        <v>5497602113.0990343</v>
      </c>
      <c r="Y4" s="208">
        <v>5497602113.0990343</v>
      </c>
      <c r="Z4" s="208">
        <v>0</v>
      </c>
      <c r="AA4" s="208">
        <v>2394026790.5124736</v>
      </c>
      <c r="AB4" s="208">
        <v>2394026790.5124736</v>
      </c>
      <c r="AC4" s="208">
        <v>0</v>
      </c>
      <c r="AD4" s="208">
        <v>0</v>
      </c>
      <c r="AE4" s="208">
        <v>0</v>
      </c>
      <c r="AF4" s="208">
        <v>0</v>
      </c>
      <c r="AG4" s="208">
        <v>3718182</v>
      </c>
      <c r="AH4" s="208">
        <v>0</v>
      </c>
      <c r="AI4" s="208">
        <v>3718182</v>
      </c>
      <c r="AJ4" s="208">
        <v>0</v>
      </c>
      <c r="AK4" s="208">
        <v>868838831.27665472</v>
      </c>
      <c r="AL4" s="208">
        <v>618759021.85108757</v>
      </c>
      <c r="AM4" s="208">
        <v>156915527.42556715</v>
      </c>
      <c r="AN4" s="208">
        <v>0</v>
      </c>
      <c r="AO4" s="208">
        <v>93164282</v>
      </c>
      <c r="AP4" s="208">
        <v>0</v>
      </c>
      <c r="AQ4" s="208">
        <v>40000000</v>
      </c>
      <c r="AR4" s="208">
        <v>53164282</v>
      </c>
      <c r="AS4" s="208">
        <v>0</v>
      </c>
      <c r="AT4" s="208">
        <v>6822614647.1111069</v>
      </c>
      <c r="AU4" s="208">
        <v>1855627397.2602739</v>
      </c>
      <c r="AV4" s="208">
        <v>4966987249.8508329</v>
      </c>
      <c r="AW4" s="208">
        <v>581355055.15083325</v>
      </c>
      <c r="AX4" s="208">
        <v>862500000</v>
      </c>
      <c r="AY4" s="208">
        <v>3325000000</v>
      </c>
      <c r="AZ4" s="208">
        <v>198132194.69999999</v>
      </c>
      <c r="BA4" s="208"/>
      <c r="BB4" s="208"/>
      <c r="BC4" s="208">
        <v>0</v>
      </c>
      <c r="BD4" s="208"/>
      <c r="BE4" s="208"/>
      <c r="BF4" s="208"/>
      <c r="BG4" s="208">
        <v>0</v>
      </c>
      <c r="BH4" s="208">
        <v>19419876781</v>
      </c>
      <c r="BI4" s="208">
        <v>0</v>
      </c>
      <c r="BJ4" s="208"/>
      <c r="BK4" s="208"/>
      <c r="BL4" s="208"/>
      <c r="BM4" s="208"/>
      <c r="BN4" s="208">
        <v>19419876781</v>
      </c>
      <c r="BO4" s="208">
        <v>5500075785</v>
      </c>
      <c r="BP4" s="208">
        <v>30981225</v>
      </c>
      <c r="BQ4" s="208">
        <v>1816834680</v>
      </c>
      <c r="BR4" s="208"/>
      <c r="BS4" s="208"/>
      <c r="BT4" s="208"/>
      <c r="BU4" s="208">
        <v>12071985091</v>
      </c>
      <c r="BV4" s="208"/>
      <c r="BW4" s="208"/>
      <c r="BX4" s="208">
        <v>0</v>
      </c>
      <c r="BY4" s="208">
        <v>0</v>
      </c>
      <c r="BZ4" s="208">
        <v>1774851423.2592592</v>
      </c>
      <c r="CA4" s="208">
        <v>740477600</v>
      </c>
      <c r="CB4" s="208">
        <v>87500000</v>
      </c>
      <c r="CC4" s="208">
        <v>7208725</v>
      </c>
      <c r="CD4" s="208">
        <v>10757727</v>
      </c>
      <c r="CE4" s="208">
        <v>4000000</v>
      </c>
      <c r="CF4" s="208">
        <v>2000000</v>
      </c>
      <c r="CG4" s="208">
        <v>2000000</v>
      </c>
      <c r="CH4" s="208">
        <v>185185.18518518517</v>
      </c>
      <c r="CI4" s="208">
        <v>10795819</v>
      </c>
      <c r="CJ4" s="208">
        <v>5092592.5925925924</v>
      </c>
      <c r="CK4" s="208">
        <v>173439630</v>
      </c>
      <c r="CL4" s="208">
        <v>3090000</v>
      </c>
      <c r="CM4" s="208">
        <v>44000000</v>
      </c>
      <c r="CN4" s="208">
        <v>44072663</v>
      </c>
      <c r="CO4" s="208">
        <v>0</v>
      </c>
      <c r="CP4" s="208">
        <v>32000000</v>
      </c>
      <c r="CQ4" s="208">
        <v>17000000</v>
      </c>
      <c r="CR4" s="208">
        <v>41000000</v>
      </c>
      <c r="CS4" s="208">
        <v>0</v>
      </c>
      <c r="CT4" s="208">
        <v>0</v>
      </c>
      <c r="CU4" s="208">
        <v>125416666.66666667</v>
      </c>
      <c r="CV4" s="208">
        <v>14814814.814814813</v>
      </c>
      <c r="CW4" s="208">
        <v>410000000</v>
      </c>
      <c r="CX4" s="208">
        <v>0</v>
      </c>
      <c r="CY4" s="208"/>
      <c r="CZ4" s="208">
        <v>0</v>
      </c>
      <c r="DA4" s="208">
        <v>-13503274725.871498</v>
      </c>
      <c r="DB4" s="208">
        <v>0</v>
      </c>
      <c r="DC4" s="208">
        <v>0</v>
      </c>
      <c r="DD4" s="208">
        <v>0</v>
      </c>
      <c r="DE4" s="208">
        <v>-13503274725.871498</v>
      </c>
      <c r="DF4" s="208"/>
      <c r="DG4" s="208"/>
      <c r="DH4" s="208">
        <v>-13503274725.871498</v>
      </c>
      <c r="DI4" s="292"/>
    </row>
    <row r="5" spans="1:113">
      <c r="A5" t="s">
        <v>295</v>
      </c>
      <c r="B5" s="208">
        <v>11350534760.36965</v>
      </c>
      <c r="C5" s="208">
        <v>5967181595.0732889</v>
      </c>
      <c r="D5" s="208">
        <v>5967181595.0732889</v>
      </c>
      <c r="E5" s="208">
        <v>0</v>
      </c>
      <c r="F5" s="208">
        <v>5383353165.296361</v>
      </c>
      <c r="G5" s="208">
        <v>5383353165.296361</v>
      </c>
      <c r="H5" s="208">
        <v>0</v>
      </c>
      <c r="I5" s="208">
        <v>0</v>
      </c>
      <c r="J5" s="208">
        <v>0</v>
      </c>
      <c r="K5" s="208">
        <v>0</v>
      </c>
      <c r="L5" s="208">
        <v>0</v>
      </c>
      <c r="M5" s="208"/>
      <c r="N5" s="208">
        <v>0</v>
      </c>
      <c r="O5" s="208">
        <v>0</v>
      </c>
      <c r="P5" s="208">
        <v>0</v>
      </c>
      <c r="Q5" s="208">
        <v>0</v>
      </c>
      <c r="R5" s="208"/>
      <c r="S5" s="208">
        <v>0</v>
      </c>
      <c r="T5" s="208">
        <v>0</v>
      </c>
      <c r="U5" s="208"/>
      <c r="V5" s="208">
        <v>11350534760.36965</v>
      </c>
      <c r="W5" s="208">
        <v>10425089674.818371</v>
      </c>
      <c r="X5" s="208">
        <v>5363514256.6819849</v>
      </c>
      <c r="Y5" s="208">
        <v>5363514256.6819849</v>
      </c>
      <c r="Z5" s="208">
        <v>0</v>
      </c>
      <c r="AA5" s="208">
        <v>5057857236.1363859</v>
      </c>
      <c r="AB5" s="208">
        <v>5057857236.1363859</v>
      </c>
      <c r="AC5" s="208">
        <v>0</v>
      </c>
      <c r="AD5" s="208">
        <v>0</v>
      </c>
      <c r="AE5" s="208">
        <v>0</v>
      </c>
      <c r="AF5" s="208">
        <v>0</v>
      </c>
      <c r="AG5" s="208">
        <v>3718182</v>
      </c>
      <c r="AH5" s="208">
        <v>0</v>
      </c>
      <c r="AI5" s="208">
        <v>3718182</v>
      </c>
      <c r="AJ5" s="208">
        <v>0</v>
      </c>
      <c r="AK5" s="208">
        <v>925445085.55127907</v>
      </c>
      <c r="AL5" s="208">
        <v>603667338.39130402</v>
      </c>
      <c r="AM5" s="208">
        <v>325495929.15997505</v>
      </c>
      <c r="AN5" s="208">
        <v>0</v>
      </c>
      <c r="AO5" s="208">
        <v>-3718182</v>
      </c>
      <c r="AP5" s="208">
        <v>0</v>
      </c>
      <c r="AQ5" s="208">
        <v>0</v>
      </c>
      <c r="AR5" s="208">
        <v>-3718182</v>
      </c>
      <c r="AS5" s="208">
        <v>0</v>
      </c>
      <c r="AT5" s="208">
        <v>595519474.49417806</v>
      </c>
      <c r="AU5" s="208">
        <v>32917808.219178084</v>
      </c>
      <c r="AV5" s="208">
        <v>562601666.27499998</v>
      </c>
      <c r="AW5" s="208">
        <v>562601666.27499998</v>
      </c>
      <c r="AX5" s="208"/>
      <c r="AY5" s="208"/>
      <c r="AZ5" s="208"/>
      <c r="BA5" s="208"/>
      <c r="BB5" s="208"/>
      <c r="BC5" s="208">
        <v>0</v>
      </c>
      <c r="BD5" s="208"/>
      <c r="BE5" s="208"/>
      <c r="BF5" s="208"/>
      <c r="BG5" s="208">
        <v>0</v>
      </c>
      <c r="BH5" s="208">
        <v>0</v>
      </c>
      <c r="BI5" s="208">
        <v>0</v>
      </c>
      <c r="BJ5" s="208"/>
      <c r="BK5" s="208"/>
      <c r="BL5" s="208"/>
      <c r="BM5" s="208"/>
      <c r="BN5" s="208">
        <v>0</v>
      </c>
      <c r="BO5" s="208"/>
      <c r="BP5" s="208"/>
      <c r="BQ5" s="208"/>
      <c r="BR5" s="208"/>
      <c r="BS5" s="208"/>
      <c r="BT5" s="208"/>
      <c r="BU5" s="208"/>
      <c r="BV5" s="208"/>
      <c r="BW5" s="208"/>
      <c r="BX5" s="208">
        <v>0</v>
      </c>
      <c r="BY5" s="208">
        <v>0</v>
      </c>
      <c r="BZ5" s="208">
        <v>1474173362.7777777</v>
      </c>
      <c r="CA5" s="208">
        <v>842194350</v>
      </c>
      <c r="CB5" s="208">
        <v>103500000</v>
      </c>
      <c r="CC5" s="208">
        <v>5478450</v>
      </c>
      <c r="CD5" s="208">
        <v>10757727</v>
      </c>
      <c r="CE5" s="208">
        <v>4000000</v>
      </c>
      <c r="CF5" s="208">
        <v>2000000</v>
      </c>
      <c r="CG5" s="208">
        <v>16000000</v>
      </c>
      <c r="CH5" s="208">
        <v>185185.18518518517</v>
      </c>
      <c r="CI5" s="208">
        <v>12612761</v>
      </c>
      <c r="CJ5" s="208">
        <v>5092592.5925925924</v>
      </c>
      <c r="CK5" s="208">
        <v>173439630</v>
      </c>
      <c r="CL5" s="208">
        <v>3090000</v>
      </c>
      <c r="CM5" s="208">
        <v>0</v>
      </c>
      <c r="CN5" s="208">
        <v>44072667</v>
      </c>
      <c r="CO5" s="208">
        <v>0</v>
      </c>
      <c r="CP5" s="208">
        <v>32000000</v>
      </c>
      <c r="CQ5" s="208">
        <v>17000000</v>
      </c>
      <c r="CR5" s="208">
        <v>44000000</v>
      </c>
      <c r="CS5" s="208">
        <v>0</v>
      </c>
      <c r="CT5" s="208">
        <v>18518518.518518519</v>
      </c>
      <c r="CU5" s="208">
        <v>125416666.66666667</v>
      </c>
      <c r="CV5" s="208">
        <v>14814814.814814813</v>
      </c>
      <c r="CW5" s="208">
        <v>0</v>
      </c>
      <c r="CX5" s="208">
        <v>0</v>
      </c>
      <c r="CY5" s="208"/>
      <c r="CZ5" s="208">
        <v>0</v>
      </c>
      <c r="DA5" s="208">
        <v>46791197.267679453</v>
      </c>
      <c r="DB5" s="208">
        <v>0</v>
      </c>
      <c r="DC5" s="208">
        <v>0</v>
      </c>
      <c r="DD5" s="208">
        <v>0</v>
      </c>
      <c r="DE5" s="208">
        <v>46791197.267679453</v>
      </c>
      <c r="DF5" s="208"/>
      <c r="DG5" s="208"/>
      <c r="DH5" s="208">
        <v>46791197.267679453</v>
      </c>
    </row>
    <row r="6" spans="1:113">
      <c r="A6" t="s">
        <v>296</v>
      </c>
      <c r="B6" s="208">
        <v>12053007277.128941</v>
      </c>
      <c r="C6" s="208">
        <v>5967181595.0732889</v>
      </c>
      <c r="D6" s="208">
        <v>5967181595.0732889</v>
      </c>
      <c r="E6" s="208">
        <v>0</v>
      </c>
      <c r="F6" s="208">
        <v>6085825682.0556526</v>
      </c>
      <c r="G6" s="208">
        <v>6085825682.0556526</v>
      </c>
      <c r="H6" s="208">
        <v>0</v>
      </c>
      <c r="I6" s="208">
        <v>0</v>
      </c>
      <c r="J6" s="208">
        <v>0</v>
      </c>
      <c r="K6" s="208">
        <v>0</v>
      </c>
      <c r="L6" s="208">
        <v>0</v>
      </c>
      <c r="M6" s="208"/>
      <c r="N6" s="208">
        <v>0</v>
      </c>
      <c r="O6" s="208">
        <v>0</v>
      </c>
      <c r="P6" s="208">
        <v>0</v>
      </c>
      <c r="Q6" s="208">
        <v>0</v>
      </c>
      <c r="R6" s="208"/>
      <c r="S6" s="208">
        <v>0</v>
      </c>
      <c r="T6" s="208">
        <v>0</v>
      </c>
      <c r="U6" s="208"/>
      <c r="V6" s="208">
        <v>12053007277.128941</v>
      </c>
      <c r="W6" s="208">
        <v>11081048753.029999</v>
      </c>
      <c r="X6" s="208">
        <v>5363514256.6819849</v>
      </c>
      <c r="Y6" s="208">
        <v>5363514256.6819849</v>
      </c>
      <c r="Z6" s="208">
        <v>0</v>
      </c>
      <c r="AA6" s="208">
        <v>5713816314.3480129</v>
      </c>
      <c r="AB6" s="208">
        <v>5713816314.3480129</v>
      </c>
      <c r="AC6" s="208">
        <v>0</v>
      </c>
      <c r="AD6" s="208">
        <v>0</v>
      </c>
      <c r="AE6" s="208">
        <v>0</v>
      </c>
      <c r="AF6" s="208">
        <v>0</v>
      </c>
      <c r="AG6" s="208">
        <v>3718182</v>
      </c>
      <c r="AH6" s="208">
        <v>0</v>
      </c>
      <c r="AI6" s="208">
        <v>3718182</v>
      </c>
      <c r="AJ6" s="208">
        <v>0</v>
      </c>
      <c r="AK6" s="208">
        <v>971958524.09894371</v>
      </c>
      <c r="AL6" s="208">
        <v>603667338.39130402</v>
      </c>
      <c r="AM6" s="208">
        <v>372009367.70763969</v>
      </c>
      <c r="AN6" s="208">
        <v>0</v>
      </c>
      <c r="AO6" s="208">
        <v>-3718182</v>
      </c>
      <c r="AP6" s="208">
        <v>0</v>
      </c>
      <c r="AQ6" s="208">
        <v>0</v>
      </c>
      <c r="AR6" s="208">
        <v>-3718182</v>
      </c>
      <c r="AS6" s="208">
        <v>0</v>
      </c>
      <c r="AT6" s="208">
        <v>618341356.52069628</v>
      </c>
      <c r="AU6" s="208">
        <v>36986301.369863011</v>
      </c>
      <c r="AV6" s="208">
        <v>581355055.15083325</v>
      </c>
      <c r="AW6" s="208">
        <v>581355055.15083325</v>
      </c>
      <c r="AX6" s="208"/>
      <c r="AY6" s="208"/>
      <c r="AZ6" s="208"/>
      <c r="BA6" s="208"/>
      <c r="BB6" s="208"/>
      <c r="BC6" s="208">
        <v>0</v>
      </c>
      <c r="BD6" s="208"/>
      <c r="BE6" s="208"/>
      <c r="BF6" s="208"/>
      <c r="BG6" s="208">
        <v>0</v>
      </c>
      <c r="BH6" s="208">
        <v>0</v>
      </c>
      <c r="BI6" s="208">
        <v>0</v>
      </c>
      <c r="BJ6" s="208"/>
      <c r="BK6" s="208"/>
      <c r="BL6" s="208"/>
      <c r="BM6" s="208"/>
      <c r="BN6" s="208">
        <v>0</v>
      </c>
      <c r="BO6" s="208"/>
      <c r="BP6" s="208"/>
      <c r="BQ6" s="208"/>
      <c r="BR6" s="208"/>
      <c r="BS6" s="208"/>
      <c r="BT6" s="208"/>
      <c r="BU6" s="208"/>
      <c r="BV6" s="208"/>
      <c r="BW6" s="208"/>
      <c r="BX6" s="208">
        <v>0</v>
      </c>
      <c r="BY6" s="208">
        <v>0</v>
      </c>
      <c r="BZ6" s="208">
        <v>1526468249.6666667</v>
      </c>
      <c r="CA6" s="208">
        <v>804468350</v>
      </c>
      <c r="CB6" s="208">
        <v>92000000</v>
      </c>
      <c r="CC6" s="208">
        <v>5478448</v>
      </c>
      <c r="CD6" s="208">
        <v>10757727</v>
      </c>
      <c r="CE6" s="208">
        <v>4000000</v>
      </c>
      <c r="CF6" s="208">
        <v>2000000</v>
      </c>
      <c r="CG6" s="208">
        <v>2000000</v>
      </c>
      <c r="CH6" s="208">
        <v>185185.18518518517</v>
      </c>
      <c r="CI6" s="208">
        <v>15744761</v>
      </c>
      <c r="CJ6" s="208">
        <v>5092592.5925925924</v>
      </c>
      <c r="CK6" s="208">
        <v>173439630</v>
      </c>
      <c r="CL6" s="208">
        <v>3090000</v>
      </c>
      <c r="CM6" s="208">
        <v>0</v>
      </c>
      <c r="CN6" s="208">
        <v>44072667</v>
      </c>
      <c r="CO6" s="208">
        <v>0</v>
      </c>
      <c r="CP6" s="208">
        <v>32000000</v>
      </c>
      <c r="CQ6" s="208">
        <v>17000000</v>
      </c>
      <c r="CR6" s="208">
        <v>39000000</v>
      </c>
      <c r="CS6" s="208">
        <v>103500000</v>
      </c>
      <c r="CT6" s="208">
        <v>32407407.407407407</v>
      </c>
      <c r="CU6" s="208">
        <v>125416666.66666667</v>
      </c>
      <c r="CV6" s="208">
        <v>14814814.814814813</v>
      </c>
      <c r="CW6" s="208">
        <v>0</v>
      </c>
      <c r="CX6" s="208">
        <v>0</v>
      </c>
      <c r="CY6" s="208"/>
      <c r="CZ6" s="208">
        <v>0</v>
      </c>
      <c r="DA6" s="208">
        <v>63831630.952973127</v>
      </c>
      <c r="DB6" s="208">
        <v>0</v>
      </c>
      <c r="DC6" s="208">
        <v>0</v>
      </c>
      <c r="DD6" s="208">
        <v>0</v>
      </c>
      <c r="DE6" s="208">
        <v>63831630.952973127</v>
      </c>
      <c r="DF6" s="208"/>
      <c r="DG6" s="208"/>
      <c r="DH6" s="208">
        <v>63831630.952973127</v>
      </c>
    </row>
    <row r="7" spans="1:113">
      <c r="A7" t="s">
        <v>297</v>
      </c>
      <c r="B7" s="208">
        <v>11460245230.24958</v>
      </c>
      <c r="C7" s="208">
        <v>5594232745.3812075</v>
      </c>
      <c r="D7" s="208">
        <v>5594232745.3812075</v>
      </c>
      <c r="E7" s="208">
        <v>0</v>
      </c>
      <c r="F7" s="208">
        <v>5824115031.777463</v>
      </c>
      <c r="G7" s="208">
        <v>5824115031.777463</v>
      </c>
      <c r="H7" s="208">
        <v>0</v>
      </c>
      <c r="I7" s="208">
        <v>0</v>
      </c>
      <c r="J7" s="208">
        <v>0</v>
      </c>
      <c r="K7" s="208">
        <v>0</v>
      </c>
      <c r="L7" s="208">
        <v>41897453.090909101</v>
      </c>
      <c r="M7" s="208"/>
      <c r="N7" s="208">
        <v>10000000</v>
      </c>
      <c r="O7" s="208">
        <v>31897453.090909101</v>
      </c>
      <c r="P7" s="208">
        <v>0</v>
      </c>
      <c r="Q7" s="208">
        <v>0</v>
      </c>
      <c r="R7" s="208"/>
      <c r="S7" s="208">
        <v>0</v>
      </c>
      <c r="T7" s="208">
        <v>0</v>
      </c>
      <c r="U7" s="208"/>
      <c r="V7" s="208">
        <v>11460245230.24958</v>
      </c>
      <c r="W7" s="208">
        <v>10498436550.24102</v>
      </c>
      <c r="X7" s="208">
        <v>5028294615.6393604</v>
      </c>
      <c r="Y7" s="208">
        <v>5028294615.6393604</v>
      </c>
      <c r="Z7" s="208">
        <v>0</v>
      </c>
      <c r="AA7" s="208">
        <v>5466423752.6016588</v>
      </c>
      <c r="AB7" s="208">
        <v>5466423752.6016588</v>
      </c>
      <c r="AC7" s="208">
        <v>0</v>
      </c>
      <c r="AD7" s="208">
        <v>0</v>
      </c>
      <c r="AE7" s="208">
        <v>0</v>
      </c>
      <c r="AF7" s="208">
        <v>0</v>
      </c>
      <c r="AG7" s="208">
        <v>3718182</v>
      </c>
      <c r="AH7" s="208">
        <v>0</v>
      </c>
      <c r="AI7" s="208">
        <v>3718182</v>
      </c>
      <c r="AJ7" s="208">
        <v>0</v>
      </c>
      <c r="AK7" s="208">
        <v>961808680.0085603</v>
      </c>
      <c r="AL7" s="208">
        <v>565938129.74184704</v>
      </c>
      <c r="AM7" s="208">
        <v>357691279.17580414</v>
      </c>
      <c r="AN7" s="208">
        <v>0</v>
      </c>
      <c r="AO7" s="208">
        <v>38179271.090909101</v>
      </c>
      <c r="AP7" s="208">
        <v>0</v>
      </c>
      <c r="AQ7" s="208">
        <v>10000000</v>
      </c>
      <c r="AR7" s="208">
        <v>28179271.090909101</v>
      </c>
      <c r="AS7" s="208">
        <v>0</v>
      </c>
      <c r="AT7" s="208">
        <v>6813294340.4594898</v>
      </c>
      <c r="AU7" s="208">
        <v>1754031232.8767123</v>
      </c>
      <c r="AV7" s="208">
        <v>5059263107.582778</v>
      </c>
      <c r="AW7" s="208">
        <v>562601666.27499998</v>
      </c>
      <c r="AX7" s="208">
        <v>872083333.33333337</v>
      </c>
      <c r="AY7" s="208">
        <v>3424244444.4444447</v>
      </c>
      <c r="AZ7" s="208">
        <v>200333663.53</v>
      </c>
      <c r="BA7" s="208"/>
      <c r="BB7" s="208"/>
      <c r="BC7" s="208">
        <v>0</v>
      </c>
      <c r="BD7" s="208"/>
      <c r="BE7" s="208"/>
      <c r="BF7" s="208"/>
      <c r="BG7" s="208">
        <v>0</v>
      </c>
      <c r="BH7" s="208">
        <v>31403833694</v>
      </c>
      <c r="BI7" s="208">
        <v>0</v>
      </c>
      <c r="BJ7" s="208"/>
      <c r="BK7" s="208"/>
      <c r="BL7" s="208"/>
      <c r="BM7" s="208"/>
      <c r="BN7" s="208">
        <v>31403833694</v>
      </c>
      <c r="BO7" s="208">
        <v>7135937347</v>
      </c>
      <c r="BP7" s="208">
        <v>834050538</v>
      </c>
      <c r="BQ7" s="208">
        <v>1876554612</v>
      </c>
      <c r="BR7" s="208"/>
      <c r="BS7" s="208"/>
      <c r="BT7" s="208"/>
      <c r="BU7" s="208">
        <v>21557291197</v>
      </c>
      <c r="BV7" s="208"/>
      <c r="BW7" s="208"/>
      <c r="BX7" s="208">
        <v>0</v>
      </c>
      <c r="BY7" s="208">
        <v>200000000</v>
      </c>
      <c r="BZ7" s="208">
        <v>2308699187.9865322</v>
      </c>
      <c r="CA7" s="208">
        <v>1063168350</v>
      </c>
      <c r="CB7" s="208">
        <v>87500000</v>
      </c>
      <c r="CC7" s="208">
        <v>5435521</v>
      </c>
      <c r="CD7" s="208">
        <v>10757727</v>
      </c>
      <c r="CE7" s="208">
        <v>4000000</v>
      </c>
      <c r="CF7" s="208">
        <v>2000000</v>
      </c>
      <c r="CG7" s="208">
        <v>2000000</v>
      </c>
      <c r="CH7" s="208">
        <v>185185.18518518517</v>
      </c>
      <c r="CI7" s="208">
        <v>18932033.727272727</v>
      </c>
      <c r="CJ7" s="208">
        <v>5092592.5925925924</v>
      </c>
      <c r="CK7" s="208">
        <v>173439630</v>
      </c>
      <c r="CL7" s="208">
        <v>3090000</v>
      </c>
      <c r="CM7" s="208">
        <v>0</v>
      </c>
      <c r="CN7" s="208">
        <v>44866667</v>
      </c>
      <c r="CO7" s="208">
        <v>195000000</v>
      </c>
      <c r="CP7" s="208">
        <v>32000000</v>
      </c>
      <c r="CQ7" s="208">
        <v>17000000</v>
      </c>
      <c r="CR7" s="208">
        <v>94000000</v>
      </c>
      <c r="CS7" s="208">
        <v>0</v>
      </c>
      <c r="CT7" s="208">
        <v>0</v>
      </c>
      <c r="CU7" s="208">
        <v>125416666.66666667</v>
      </c>
      <c r="CV7" s="208">
        <v>14814814.814814813</v>
      </c>
      <c r="CW7" s="208">
        <v>410000000</v>
      </c>
      <c r="CX7" s="208">
        <v>0</v>
      </c>
      <c r="CY7" s="208"/>
      <c r="CZ7" s="208">
        <v>0</v>
      </c>
      <c r="DA7" s="208">
        <v>-26137429861.518486</v>
      </c>
      <c r="DB7" s="208">
        <v>0</v>
      </c>
      <c r="DC7" s="208">
        <v>0</v>
      </c>
      <c r="DD7" s="208">
        <v>0</v>
      </c>
      <c r="DE7" s="208">
        <v>-26137429861.518486</v>
      </c>
      <c r="DF7" s="208"/>
      <c r="DG7" s="208"/>
      <c r="DH7" s="208">
        <v>-26137429861.518486</v>
      </c>
    </row>
    <row r="8" spans="1:113">
      <c r="A8" t="s">
        <v>298</v>
      </c>
      <c r="B8" s="208">
        <v>57113187830.251137</v>
      </c>
      <c r="C8" s="208">
        <v>6253705827.3944349</v>
      </c>
      <c r="D8" s="208">
        <v>5594232745.3812075</v>
      </c>
      <c r="E8" s="208">
        <v>659473082.01322746</v>
      </c>
      <c r="F8" s="208">
        <v>50859482002.856705</v>
      </c>
      <c r="G8" s="208">
        <v>6762052690.1830053</v>
      </c>
      <c r="H8" s="208">
        <v>44097429312.673698</v>
      </c>
      <c r="I8" s="208">
        <v>0</v>
      </c>
      <c r="J8" s="208">
        <v>0</v>
      </c>
      <c r="K8" s="208">
        <v>0</v>
      </c>
      <c r="L8" s="208">
        <v>0</v>
      </c>
      <c r="M8" s="208"/>
      <c r="N8" s="208">
        <v>0</v>
      </c>
      <c r="O8" s="208">
        <v>0</v>
      </c>
      <c r="P8" s="208">
        <v>0</v>
      </c>
      <c r="Q8" s="208">
        <v>0</v>
      </c>
      <c r="R8" s="208"/>
      <c r="S8" s="208">
        <v>0</v>
      </c>
      <c r="T8" s="208">
        <v>0</v>
      </c>
      <c r="U8" s="208"/>
      <c r="V8" s="208">
        <v>57113187830.251137</v>
      </c>
      <c r="W8" s="208">
        <v>52959890916.165619</v>
      </c>
      <c r="X8" s="208">
        <v>5627811965.1203041</v>
      </c>
      <c r="Y8" s="208">
        <v>5028294615.6393604</v>
      </c>
      <c r="Z8" s="208">
        <v>599517349.48094332</v>
      </c>
      <c r="AA8" s="208">
        <v>47328360769.045311</v>
      </c>
      <c r="AB8" s="208">
        <v>6339744562.3971653</v>
      </c>
      <c r="AC8" s="208">
        <v>40988616206.648148</v>
      </c>
      <c r="AD8" s="208">
        <v>0</v>
      </c>
      <c r="AE8" s="208">
        <v>0</v>
      </c>
      <c r="AF8" s="208">
        <v>0</v>
      </c>
      <c r="AG8" s="208">
        <v>3718182</v>
      </c>
      <c r="AH8" s="208">
        <v>0</v>
      </c>
      <c r="AI8" s="208">
        <v>3718182</v>
      </c>
      <c r="AJ8" s="208">
        <v>0</v>
      </c>
      <c r="AK8" s="208">
        <v>4153296914.0855246</v>
      </c>
      <c r="AL8" s="208">
        <v>625893862.27413082</v>
      </c>
      <c r="AM8" s="208">
        <v>3531121233.8113937</v>
      </c>
      <c r="AN8" s="208">
        <v>0</v>
      </c>
      <c r="AO8" s="208">
        <v>-3718182</v>
      </c>
      <c r="AP8" s="208">
        <v>0</v>
      </c>
      <c r="AQ8" s="208">
        <v>0</v>
      </c>
      <c r="AR8" s="208">
        <v>-3718182</v>
      </c>
      <c r="AS8" s="208">
        <v>0</v>
      </c>
      <c r="AT8" s="208">
        <v>581355055.15083325</v>
      </c>
      <c r="AU8" s="208">
        <v>0</v>
      </c>
      <c r="AV8" s="208">
        <v>581355055.15083325</v>
      </c>
      <c r="AW8" s="208">
        <v>581355055.15083325</v>
      </c>
      <c r="AX8" s="208"/>
      <c r="AY8" s="208"/>
      <c r="AZ8" s="208"/>
      <c r="BA8" s="208"/>
      <c r="BB8" s="208"/>
      <c r="BC8" s="208">
        <v>0</v>
      </c>
      <c r="BD8" s="208"/>
      <c r="BE8" s="208"/>
      <c r="BF8" s="208"/>
      <c r="BG8" s="208">
        <v>0</v>
      </c>
      <c r="BH8" s="208">
        <v>0</v>
      </c>
      <c r="BI8" s="208">
        <v>0</v>
      </c>
      <c r="BJ8" s="208"/>
      <c r="BK8" s="208"/>
      <c r="BL8" s="208"/>
      <c r="BM8" s="208"/>
      <c r="BN8" s="208">
        <v>0</v>
      </c>
      <c r="BO8" s="208"/>
      <c r="BP8" s="208"/>
      <c r="BQ8" s="208"/>
      <c r="BR8" s="208"/>
      <c r="BS8" s="208"/>
      <c r="BT8" s="208"/>
      <c r="BU8" s="208"/>
      <c r="BV8" s="208"/>
      <c r="BW8" s="208"/>
      <c r="BX8" s="208">
        <v>0</v>
      </c>
      <c r="BY8" s="208">
        <v>0</v>
      </c>
      <c r="BZ8" s="208">
        <v>1341447704.0370369</v>
      </c>
      <c r="CA8" s="208">
        <v>729620350</v>
      </c>
      <c r="CB8" s="208">
        <v>87500000</v>
      </c>
      <c r="CC8" s="208">
        <v>5435532</v>
      </c>
      <c r="CD8" s="208">
        <v>10757727</v>
      </c>
      <c r="CE8" s="208">
        <v>4000000</v>
      </c>
      <c r="CF8" s="208">
        <v>2000000</v>
      </c>
      <c r="CG8" s="208">
        <v>2000000</v>
      </c>
      <c r="CH8" s="208">
        <v>185185.18518518517</v>
      </c>
      <c r="CI8" s="208">
        <v>15744761</v>
      </c>
      <c r="CJ8" s="208">
        <v>5092592.5925925924</v>
      </c>
      <c r="CK8" s="208">
        <v>173439630</v>
      </c>
      <c r="CL8" s="208">
        <v>3090000</v>
      </c>
      <c r="CM8" s="208">
        <v>0</v>
      </c>
      <c r="CN8" s="208">
        <v>46572667</v>
      </c>
      <c r="CO8" s="208">
        <v>0</v>
      </c>
      <c r="CP8" s="208">
        <v>32000000</v>
      </c>
      <c r="CQ8" s="208">
        <v>17000000</v>
      </c>
      <c r="CR8" s="208">
        <v>39000000</v>
      </c>
      <c r="CS8" s="208">
        <v>0</v>
      </c>
      <c r="CT8" s="208">
        <v>27777777.777777776</v>
      </c>
      <c r="CU8" s="208">
        <v>125416666.66666667</v>
      </c>
      <c r="CV8" s="208">
        <v>14814814.814814813</v>
      </c>
      <c r="CW8" s="208">
        <v>0</v>
      </c>
      <c r="CX8" s="208">
        <v>0</v>
      </c>
      <c r="CY8" s="208"/>
      <c r="CZ8" s="208">
        <v>0</v>
      </c>
      <c r="DA8" s="208">
        <v>3393204265.1993208</v>
      </c>
      <c r="DB8" s="208">
        <v>0</v>
      </c>
      <c r="DC8" s="208">
        <v>0</v>
      </c>
      <c r="DD8" s="208">
        <v>0</v>
      </c>
      <c r="DE8" s="208">
        <v>3393204265.1993208</v>
      </c>
      <c r="DF8" s="208"/>
      <c r="DG8" s="208"/>
      <c r="DH8" s="208">
        <v>3393204265.1993208</v>
      </c>
    </row>
    <row r="9" spans="1:113">
      <c r="A9" t="s">
        <v>299</v>
      </c>
      <c r="B9" s="208">
        <v>78874245173.549988</v>
      </c>
      <c r="C9" s="208">
        <v>11502240103.291908</v>
      </c>
      <c r="D9" s="208">
        <v>8204874693.225771</v>
      </c>
      <c r="E9" s="208">
        <v>3297365410.0661373</v>
      </c>
      <c r="F9" s="208">
        <v>67372005070.258087</v>
      </c>
      <c r="G9" s="208">
        <v>5234311588.7544937</v>
      </c>
      <c r="H9" s="208">
        <v>62137693481.503593</v>
      </c>
      <c r="I9" s="208">
        <v>0</v>
      </c>
      <c r="J9" s="208">
        <v>0</v>
      </c>
      <c r="K9" s="208">
        <v>0</v>
      </c>
      <c r="L9" s="208">
        <v>0</v>
      </c>
      <c r="M9" s="208"/>
      <c r="N9" s="208">
        <v>0</v>
      </c>
      <c r="O9" s="208">
        <v>0</v>
      </c>
      <c r="P9" s="208">
        <v>0</v>
      </c>
      <c r="Q9" s="208">
        <v>0</v>
      </c>
      <c r="R9" s="208"/>
      <c r="S9" s="208">
        <v>0</v>
      </c>
      <c r="T9" s="208">
        <v>0</v>
      </c>
      <c r="U9" s="208"/>
      <c r="V9" s="208">
        <v>78874245173.549988</v>
      </c>
      <c r="W9" s="208">
        <v>73292789816.85614</v>
      </c>
      <c r="X9" s="208">
        <v>10372418850.342445</v>
      </c>
      <c r="Y9" s="208">
        <v>7374832102.9377279</v>
      </c>
      <c r="Z9" s="208">
        <v>2997586747.4047165</v>
      </c>
      <c r="AA9" s="208">
        <v>62916652784.513695</v>
      </c>
      <c r="AB9" s="208">
        <v>4909479505.694272</v>
      </c>
      <c r="AC9" s="208">
        <v>58007173278.81942</v>
      </c>
      <c r="AD9" s="208">
        <v>0</v>
      </c>
      <c r="AE9" s="208">
        <v>0</v>
      </c>
      <c r="AF9" s="208">
        <v>0</v>
      </c>
      <c r="AG9" s="208">
        <v>3718182</v>
      </c>
      <c r="AH9" s="208">
        <v>0</v>
      </c>
      <c r="AI9" s="208">
        <v>3718182</v>
      </c>
      <c r="AJ9" s="208">
        <v>0</v>
      </c>
      <c r="AK9" s="208">
        <v>5581455356.6938553</v>
      </c>
      <c r="AL9" s="208">
        <v>1129821252.9494629</v>
      </c>
      <c r="AM9" s="208">
        <v>4455352285.7443924</v>
      </c>
      <c r="AN9" s="208">
        <v>0</v>
      </c>
      <c r="AO9" s="208">
        <v>-3718182</v>
      </c>
      <c r="AP9" s="208">
        <v>0</v>
      </c>
      <c r="AQ9" s="208">
        <v>0</v>
      </c>
      <c r="AR9" s="208">
        <v>-3718182</v>
      </c>
      <c r="AS9" s="208">
        <v>0</v>
      </c>
      <c r="AT9" s="208">
        <v>581355055.15083325</v>
      </c>
      <c r="AU9" s="208">
        <v>0</v>
      </c>
      <c r="AV9" s="208">
        <v>581355055.15083325</v>
      </c>
      <c r="AW9" s="208">
        <v>581355055.15083325</v>
      </c>
      <c r="AX9" s="208"/>
      <c r="AY9" s="208"/>
      <c r="AZ9" s="208"/>
      <c r="BA9" s="208"/>
      <c r="BB9" s="208"/>
      <c r="BC9" s="208">
        <v>0</v>
      </c>
      <c r="BD9" s="208"/>
      <c r="BE9" s="208"/>
      <c r="BF9" s="208"/>
      <c r="BG9" s="208">
        <v>0</v>
      </c>
      <c r="BH9" s="208">
        <v>0</v>
      </c>
      <c r="BI9" s="208">
        <v>0</v>
      </c>
      <c r="BJ9" s="208"/>
      <c r="BK9" s="208"/>
      <c r="BL9" s="208"/>
      <c r="BM9" s="208"/>
      <c r="BN9" s="208">
        <v>0</v>
      </c>
      <c r="BO9" s="208"/>
      <c r="BP9" s="208"/>
      <c r="BQ9" s="208"/>
      <c r="BR9" s="208"/>
      <c r="BS9" s="208"/>
      <c r="BT9" s="208"/>
      <c r="BU9" s="208"/>
      <c r="BV9" s="208"/>
      <c r="BW9" s="208"/>
      <c r="BX9" s="208">
        <v>0</v>
      </c>
      <c r="BY9" s="208">
        <v>0</v>
      </c>
      <c r="BZ9" s="208">
        <v>1311222087.2592592</v>
      </c>
      <c r="CA9" s="208">
        <v>725320350</v>
      </c>
      <c r="CB9" s="208">
        <v>87500000</v>
      </c>
      <c r="CC9" s="208">
        <v>4787693</v>
      </c>
      <c r="CD9" s="208">
        <v>10757727</v>
      </c>
      <c r="CE9" s="208">
        <v>4000000</v>
      </c>
      <c r="CF9" s="208">
        <v>2000000</v>
      </c>
      <c r="CG9" s="208">
        <v>2000000</v>
      </c>
      <c r="CH9" s="208">
        <v>185185.18518518517</v>
      </c>
      <c r="CI9" s="208">
        <v>15744761</v>
      </c>
      <c r="CJ9" s="208">
        <v>5092592.5925925924</v>
      </c>
      <c r="CK9" s="208">
        <v>173439630</v>
      </c>
      <c r="CL9" s="208">
        <v>3090000</v>
      </c>
      <c r="CM9" s="208">
        <v>0</v>
      </c>
      <c r="CN9" s="208">
        <v>44072667</v>
      </c>
      <c r="CO9" s="208">
        <v>0</v>
      </c>
      <c r="CP9" s="208">
        <v>32000000</v>
      </c>
      <c r="CQ9" s="208">
        <v>17000000</v>
      </c>
      <c r="CR9" s="208">
        <v>44000000</v>
      </c>
      <c r="CS9" s="208">
        <v>0</v>
      </c>
      <c r="CT9" s="208">
        <v>0</v>
      </c>
      <c r="CU9" s="208">
        <v>125416666.66666667</v>
      </c>
      <c r="CV9" s="208">
        <v>14814814.814814813</v>
      </c>
      <c r="CW9" s="208">
        <v>0</v>
      </c>
      <c r="CX9" s="208">
        <v>0</v>
      </c>
      <c r="CY9" s="208"/>
      <c r="CZ9" s="208">
        <v>0</v>
      </c>
      <c r="DA9" s="208">
        <v>4851588324.5854292</v>
      </c>
      <c r="DB9" s="208">
        <v>0</v>
      </c>
      <c r="DC9" s="208">
        <v>0</v>
      </c>
      <c r="DD9" s="208">
        <v>0</v>
      </c>
      <c r="DE9" s="208">
        <v>4851588324.5854292</v>
      </c>
      <c r="DF9" s="208"/>
      <c r="DG9" s="208"/>
      <c r="DH9" s="208">
        <v>4851588324.5854292</v>
      </c>
    </row>
    <row r="10" spans="1:113">
      <c r="A10" t="s">
        <v>300</v>
      </c>
      <c r="B10" s="208">
        <v>54010530641.652069</v>
      </c>
      <c r="C10" s="208">
        <v>8978022772.8182793</v>
      </c>
      <c r="D10" s="208">
        <v>6340130444.7653694</v>
      </c>
      <c r="E10" s="208">
        <v>2637892328.0529099</v>
      </c>
      <c r="F10" s="208">
        <v>44988664823.379242</v>
      </c>
      <c r="G10" s="208">
        <v>3396330650.8100066</v>
      </c>
      <c r="H10" s="208">
        <v>41592334172.569237</v>
      </c>
      <c r="I10" s="208">
        <v>0</v>
      </c>
      <c r="J10" s="208">
        <v>0</v>
      </c>
      <c r="K10" s="208">
        <v>0</v>
      </c>
      <c r="L10" s="208">
        <v>43843045.454545453</v>
      </c>
      <c r="M10" s="208"/>
      <c r="N10" s="208">
        <v>20000000</v>
      </c>
      <c r="O10" s="208">
        <v>23843045.454545453</v>
      </c>
      <c r="P10" s="208">
        <v>0</v>
      </c>
      <c r="Q10" s="208">
        <v>0</v>
      </c>
      <c r="R10" s="208"/>
      <c r="S10" s="208">
        <v>0</v>
      </c>
      <c r="T10" s="208">
        <v>0</v>
      </c>
      <c r="U10" s="208"/>
      <c r="V10" s="208">
        <v>54010530641.652069</v>
      </c>
      <c r="W10" s="208">
        <v>50217993690.898232</v>
      </c>
      <c r="X10" s="208">
        <v>8096803295.6483822</v>
      </c>
      <c r="Y10" s="208">
        <v>5698733897.7246094</v>
      </c>
      <c r="Z10" s="208">
        <v>2398069397.9237733</v>
      </c>
      <c r="AA10" s="208">
        <v>42117472213.249847</v>
      </c>
      <c r="AB10" s="208">
        <v>3186393948.406898</v>
      </c>
      <c r="AC10" s="208">
        <v>38931078264.842949</v>
      </c>
      <c r="AD10" s="208">
        <v>0</v>
      </c>
      <c r="AE10" s="208">
        <v>0</v>
      </c>
      <c r="AF10" s="208">
        <v>0</v>
      </c>
      <c r="AG10" s="208">
        <v>3718182</v>
      </c>
      <c r="AH10" s="208">
        <v>0</v>
      </c>
      <c r="AI10" s="208">
        <v>3718182</v>
      </c>
      <c r="AJ10" s="208">
        <v>0</v>
      </c>
      <c r="AK10" s="208">
        <v>3792536950.7538371</v>
      </c>
      <c r="AL10" s="208">
        <v>881219477.16989708</v>
      </c>
      <c r="AM10" s="208">
        <v>2871192610.1293945</v>
      </c>
      <c r="AN10" s="208">
        <v>0</v>
      </c>
      <c r="AO10" s="208">
        <v>40124863.454545453</v>
      </c>
      <c r="AP10" s="208">
        <v>0</v>
      </c>
      <c r="AQ10" s="208">
        <v>20000000</v>
      </c>
      <c r="AR10" s="208">
        <v>20124863.454545453</v>
      </c>
      <c r="AS10" s="208">
        <v>0</v>
      </c>
      <c r="AT10" s="208">
        <v>6883398655.5604191</v>
      </c>
      <c r="AU10" s="208">
        <v>1773306301.369863</v>
      </c>
      <c r="AV10" s="208">
        <v>5110092354.1905556</v>
      </c>
      <c r="AW10" s="208">
        <v>562601666.27499998</v>
      </c>
      <c r="AX10" s="208">
        <v>881666666.66666663</v>
      </c>
      <c r="AY10" s="208">
        <v>3463288888.8888888</v>
      </c>
      <c r="AZ10" s="208">
        <v>202535132.35999998</v>
      </c>
      <c r="BA10" s="208"/>
      <c r="BB10" s="208"/>
      <c r="BC10" s="208">
        <v>0</v>
      </c>
      <c r="BD10" s="208"/>
      <c r="BE10" s="208"/>
      <c r="BF10" s="208"/>
      <c r="BG10" s="208">
        <v>0</v>
      </c>
      <c r="BH10" s="208">
        <v>-27619694166</v>
      </c>
      <c r="BI10" s="208">
        <v>0</v>
      </c>
      <c r="BJ10" s="208"/>
      <c r="BK10" s="208"/>
      <c r="BL10" s="208"/>
      <c r="BM10" s="208"/>
      <c r="BN10" s="208">
        <v>-27619694166</v>
      </c>
      <c r="BO10" s="208">
        <v>4678419299</v>
      </c>
      <c r="BP10" s="208">
        <v>-555939709</v>
      </c>
      <c r="BQ10" s="208">
        <v>1887102532</v>
      </c>
      <c r="BR10" s="208"/>
      <c r="BS10" s="208"/>
      <c r="BT10" s="208"/>
      <c r="BU10" s="208">
        <v>-33629276288</v>
      </c>
      <c r="BV10" s="208"/>
      <c r="BW10" s="208"/>
      <c r="BX10" s="208">
        <v>0</v>
      </c>
      <c r="BY10" s="208">
        <v>0</v>
      </c>
      <c r="BZ10" s="208">
        <v>1865664605.7777777</v>
      </c>
      <c r="CA10" s="208">
        <v>798720350</v>
      </c>
      <c r="CB10" s="208">
        <v>103500000</v>
      </c>
      <c r="CC10" s="208">
        <v>4787693</v>
      </c>
      <c r="CD10" s="208">
        <v>10757727</v>
      </c>
      <c r="CE10" s="208">
        <v>4000000</v>
      </c>
      <c r="CF10" s="208">
        <v>2000000</v>
      </c>
      <c r="CG10" s="208">
        <v>2000000</v>
      </c>
      <c r="CH10" s="208">
        <v>185185.18518518517</v>
      </c>
      <c r="CI10" s="208">
        <v>15744761</v>
      </c>
      <c r="CJ10" s="208">
        <v>5092592.5925925924</v>
      </c>
      <c r="CK10" s="208">
        <v>173439630</v>
      </c>
      <c r="CL10" s="208">
        <v>3090000</v>
      </c>
      <c r="CM10" s="208">
        <v>0</v>
      </c>
      <c r="CN10" s="208">
        <v>44072667</v>
      </c>
      <c r="CO10" s="208">
        <v>0</v>
      </c>
      <c r="CP10" s="208">
        <v>32000000</v>
      </c>
      <c r="CQ10" s="208">
        <v>17000000</v>
      </c>
      <c r="CR10" s="208">
        <v>79000000</v>
      </c>
      <c r="CS10" s="208">
        <v>0</v>
      </c>
      <c r="CT10" s="208">
        <v>18518518.518518519</v>
      </c>
      <c r="CU10" s="208">
        <v>125416666.66666667</v>
      </c>
      <c r="CV10" s="208">
        <v>14814814.814814813</v>
      </c>
      <c r="CW10" s="208">
        <v>411524000</v>
      </c>
      <c r="CX10" s="208">
        <v>0</v>
      </c>
      <c r="CY10" s="208"/>
      <c r="CZ10" s="208">
        <v>0</v>
      </c>
      <c r="DA10" s="208">
        <v>36429965166.536476</v>
      </c>
      <c r="DB10" s="208">
        <v>0</v>
      </c>
      <c r="DC10" s="208">
        <v>0</v>
      </c>
      <c r="DD10" s="208">
        <v>0</v>
      </c>
      <c r="DE10" s="208">
        <v>36429965166.536476</v>
      </c>
      <c r="DF10" s="208"/>
      <c r="DG10" s="208"/>
      <c r="DH10" s="208">
        <v>36429965166.536476</v>
      </c>
    </row>
    <row r="11" spans="1:113">
      <c r="A11" t="s">
        <v>301</v>
      </c>
      <c r="B11" s="208">
        <v>10638424975.206612</v>
      </c>
      <c r="C11" s="208">
        <v>6713079294.4574499</v>
      </c>
      <c r="D11" s="208">
        <v>6713079294.4574499</v>
      </c>
      <c r="E11" s="208">
        <v>0</v>
      </c>
      <c r="F11" s="208">
        <v>3925345680.7491622</v>
      </c>
      <c r="G11" s="208">
        <v>3925345680.7491622</v>
      </c>
      <c r="H11" s="208">
        <v>0</v>
      </c>
      <c r="I11" s="208">
        <v>0</v>
      </c>
      <c r="J11" s="208">
        <v>0</v>
      </c>
      <c r="K11" s="208">
        <v>0</v>
      </c>
      <c r="L11" s="208">
        <v>0</v>
      </c>
      <c r="M11" s="208"/>
      <c r="N11" s="208">
        <v>0</v>
      </c>
      <c r="O11" s="208">
        <v>0</v>
      </c>
      <c r="P11" s="208">
        <v>0</v>
      </c>
      <c r="Q11" s="208">
        <v>0</v>
      </c>
      <c r="R11" s="208"/>
      <c r="S11" s="208">
        <v>0</v>
      </c>
      <c r="T11" s="208">
        <v>0</v>
      </c>
      <c r="U11" s="208"/>
      <c r="V11" s="208">
        <v>10638424975.206612</v>
      </c>
      <c r="W11" s="208">
        <v>9725276296.2475071</v>
      </c>
      <c r="X11" s="208">
        <v>6033953538.7672329</v>
      </c>
      <c r="Y11" s="208">
        <v>6033953538.7672329</v>
      </c>
      <c r="Z11" s="208">
        <v>0</v>
      </c>
      <c r="AA11" s="208">
        <v>3687604575.4802737</v>
      </c>
      <c r="AB11" s="208">
        <v>3687604575.4802737</v>
      </c>
      <c r="AC11" s="208">
        <v>0</v>
      </c>
      <c r="AD11" s="208">
        <v>0</v>
      </c>
      <c r="AE11" s="208">
        <v>0</v>
      </c>
      <c r="AF11" s="208">
        <v>0</v>
      </c>
      <c r="AG11" s="208">
        <v>3718182</v>
      </c>
      <c r="AH11" s="208">
        <v>0</v>
      </c>
      <c r="AI11" s="208">
        <v>3718182</v>
      </c>
      <c r="AJ11" s="208">
        <v>0</v>
      </c>
      <c r="AK11" s="208">
        <v>913148678.95910549</v>
      </c>
      <c r="AL11" s="208">
        <v>679125755.69021702</v>
      </c>
      <c r="AM11" s="208">
        <v>237741105.26888847</v>
      </c>
      <c r="AN11" s="208">
        <v>0</v>
      </c>
      <c r="AO11" s="208">
        <v>-3718182</v>
      </c>
      <c r="AP11" s="208">
        <v>0</v>
      </c>
      <c r="AQ11" s="208">
        <v>0</v>
      </c>
      <c r="AR11" s="208">
        <v>-3718182</v>
      </c>
      <c r="AS11" s="208">
        <v>0</v>
      </c>
      <c r="AT11" s="208">
        <v>581355055.15083325</v>
      </c>
      <c r="AU11" s="208">
        <v>0</v>
      </c>
      <c r="AV11" s="208">
        <v>581355055.15083325</v>
      </c>
      <c r="AW11" s="208">
        <v>581355055.15083325</v>
      </c>
      <c r="AX11" s="208"/>
      <c r="AY11" s="208"/>
      <c r="AZ11" s="208"/>
      <c r="BA11" s="208"/>
      <c r="BB11" s="208"/>
      <c r="BC11" s="208">
        <v>0</v>
      </c>
      <c r="BD11" s="208"/>
      <c r="BE11" s="208"/>
      <c r="BF11" s="208"/>
      <c r="BG11" s="208">
        <v>0</v>
      </c>
      <c r="BH11" s="208">
        <v>0</v>
      </c>
      <c r="BI11" s="208">
        <v>0</v>
      </c>
      <c r="BJ11" s="208"/>
      <c r="BK11" s="208"/>
      <c r="BL11" s="208"/>
      <c r="BM11" s="208"/>
      <c r="BN11" s="208">
        <v>0</v>
      </c>
      <c r="BO11" s="208"/>
      <c r="BP11" s="208"/>
      <c r="BQ11" s="208"/>
      <c r="BR11" s="208"/>
      <c r="BS11" s="208"/>
      <c r="BT11" s="208"/>
      <c r="BU11" s="208"/>
      <c r="BV11" s="208"/>
      <c r="BW11" s="208"/>
      <c r="BX11" s="208">
        <v>0</v>
      </c>
      <c r="BY11" s="208">
        <v>0</v>
      </c>
      <c r="BZ11" s="208">
        <v>1421622087.2592592</v>
      </c>
      <c r="CA11" s="208">
        <v>744220350</v>
      </c>
      <c r="CB11" s="208">
        <v>90000000</v>
      </c>
      <c r="CC11" s="208">
        <v>4787693</v>
      </c>
      <c r="CD11" s="208">
        <v>10757727</v>
      </c>
      <c r="CE11" s="208">
        <v>4000000</v>
      </c>
      <c r="CF11" s="208">
        <v>2000000</v>
      </c>
      <c r="CG11" s="208">
        <v>16000000</v>
      </c>
      <c r="CH11" s="208">
        <v>185185.18518518517</v>
      </c>
      <c r="CI11" s="208">
        <v>15744761</v>
      </c>
      <c r="CJ11" s="208">
        <v>5092592.5925925924</v>
      </c>
      <c r="CK11" s="208">
        <v>173439630</v>
      </c>
      <c r="CL11" s="208">
        <v>3090000</v>
      </c>
      <c r="CM11" s="208">
        <v>0</v>
      </c>
      <c r="CN11" s="208">
        <v>44072667</v>
      </c>
      <c r="CO11" s="208">
        <v>0</v>
      </c>
      <c r="CP11" s="208">
        <v>32000000</v>
      </c>
      <c r="CQ11" s="208">
        <v>17000000</v>
      </c>
      <c r="CR11" s="208">
        <v>119000000</v>
      </c>
      <c r="CS11" s="208">
        <v>0</v>
      </c>
      <c r="CT11" s="208">
        <v>0</v>
      </c>
      <c r="CU11" s="208">
        <v>125416666.66666667</v>
      </c>
      <c r="CV11" s="208">
        <v>14814814.814814813</v>
      </c>
      <c r="CW11" s="208">
        <v>0</v>
      </c>
      <c r="CX11" s="208">
        <v>0</v>
      </c>
      <c r="CY11" s="208"/>
      <c r="CZ11" s="208">
        <v>0</v>
      </c>
      <c r="DA11" s="208">
        <v>72881646.850679398</v>
      </c>
      <c r="DB11" s="208">
        <v>0</v>
      </c>
      <c r="DC11" s="208">
        <v>0</v>
      </c>
      <c r="DD11" s="208">
        <v>0</v>
      </c>
      <c r="DE11" s="208">
        <v>72881646.850679398</v>
      </c>
      <c r="DF11" s="208"/>
      <c r="DG11" s="208"/>
      <c r="DH11" s="208">
        <v>72881646.850679398</v>
      </c>
    </row>
    <row r="12" spans="1:113">
      <c r="A12" t="s">
        <v>302</v>
      </c>
      <c r="B12" s="208">
        <v>9147131223.6800518</v>
      </c>
      <c r="C12" s="208">
        <v>6340130444.7653694</v>
      </c>
      <c r="D12" s="208">
        <v>6340130444.7653694</v>
      </c>
      <c r="E12" s="208">
        <v>0</v>
      </c>
      <c r="F12" s="208">
        <v>2807000778.9146829</v>
      </c>
      <c r="G12" s="208">
        <v>2807000778.9146829</v>
      </c>
      <c r="H12" s="208">
        <v>0</v>
      </c>
      <c r="I12" s="208">
        <v>0</v>
      </c>
      <c r="J12" s="208">
        <v>0</v>
      </c>
      <c r="K12" s="208">
        <v>0</v>
      </c>
      <c r="L12" s="208">
        <v>0</v>
      </c>
      <c r="M12" s="208"/>
      <c r="N12" s="208">
        <v>0</v>
      </c>
      <c r="O12" s="208">
        <v>0</v>
      </c>
      <c r="P12" s="208">
        <v>0</v>
      </c>
      <c r="Q12" s="208">
        <v>0</v>
      </c>
      <c r="R12" s="208"/>
      <c r="S12" s="208">
        <v>0</v>
      </c>
      <c r="T12" s="208">
        <v>0</v>
      </c>
      <c r="U12" s="208"/>
      <c r="V12" s="208">
        <v>9147131223.6800518</v>
      </c>
      <c r="W12" s="208">
        <v>8332655142.7789288</v>
      </c>
      <c r="X12" s="208">
        <v>5698733897.7246094</v>
      </c>
      <c r="Y12" s="208">
        <v>5698733897.7246094</v>
      </c>
      <c r="Z12" s="208">
        <v>0</v>
      </c>
      <c r="AA12" s="208">
        <v>2630203063.0543189</v>
      </c>
      <c r="AB12" s="208">
        <v>2630203063.0543189</v>
      </c>
      <c r="AC12" s="208">
        <v>0</v>
      </c>
      <c r="AD12" s="208">
        <v>0</v>
      </c>
      <c r="AE12" s="208">
        <v>0</v>
      </c>
      <c r="AF12" s="208">
        <v>0</v>
      </c>
      <c r="AG12" s="208">
        <v>3718182</v>
      </c>
      <c r="AH12" s="208">
        <v>0</v>
      </c>
      <c r="AI12" s="208">
        <v>3718182</v>
      </c>
      <c r="AJ12" s="208">
        <v>0</v>
      </c>
      <c r="AK12" s="208">
        <v>814476080.901124</v>
      </c>
      <c r="AL12" s="208">
        <v>641396547.04076004</v>
      </c>
      <c r="AM12" s="208">
        <v>176797715.86036396</v>
      </c>
      <c r="AN12" s="208">
        <v>0</v>
      </c>
      <c r="AO12" s="208">
        <v>-3718182</v>
      </c>
      <c r="AP12" s="208">
        <v>0</v>
      </c>
      <c r="AQ12" s="208">
        <v>0</v>
      </c>
      <c r="AR12" s="208">
        <v>-3718182</v>
      </c>
      <c r="AS12" s="208">
        <v>0</v>
      </c>
      <c r="AT12" s="208">
        <v>562601666.27499998</v>
      </c>
      <c r="AU12" s="208">
        <v>0</v>
      </c>
      <c r="AV12" s="208">
        <v>562601666.27499998</v>
      </c>
      <c r="AW12" s="208">
        <v>562601666.27499998</v>
      </c>
      <c r="AX12" s="208"/>
      <c r="AY12" s="208"/>
      <c r="AZ12" s="208"/>
      <c r="BA12" s="208"/>
      <c r="BB12" s="208"/>
      <c r="BC12" s="208">
        <v>0</v>
      </c>
      <c r="BD12" s="208"/>
      <c r="BE12" s="208"/>
      <c r="BF12" s="208"/>
      <c r="BG12" s="208">
        <v>0</v>
      </c>
      <c r="BH12" s="208">
        <v>0</v>
      </c>
      <c r="BI12" s="208">
        <v>0</v>
      </c>
      <c r="BJ12" s="208"/>
      <c r="BK12" s="208"/>
      <c r="BL12" s="208"/>
      <c r="BM12" s="208"/>
      <c r="BN12" s="208">
        <v>0</v>
      </c>
      <c r="BO12" s="208"/>
      <c r="BP12" s="208"/>
      <c r="BQ12" s="208"/>
      <c r="BR12" s="208"/>
      <c r="BS12" s="208"/>
      <c r="BT12" s="208"/>
      <c r="BU12" s="208"/>
      <c r="BV12" s="208"/>
      <c r="BW12" s="208"/>
      <c r="BX12" s="208">
        <v>0</v>
      </c>
      <c r="BY12" s="208">
        <v>0</v>
      </c>
      <c r="BZ12" s="208">
        <v>1431881343.5185184</v>
      </c>
      <c r="CA12" s="208">
        <v>727320350</v>
      </c>
      <c r="CB12" s="208">
        <v>87500000</v>
      </c>
      <c r="CC12" s="208">
        <v>4787690</v>
      </c>
      <c r="CD12" s="208">
        <v>10757727</v>
      </c>
      <c r="CE12" s="208">
        <v>4000000</v>
      </c>
      <c r="CF12" s="208">
        <v>2000000</v>
      </c>
      <c r="CG12" s="208">
        <v>2000000</v>
      </c>
      <c r="CH12" s="208">
        <v>185185.18518518517</v>
      </c>
      <c r="CI12" s="208">
        <v>15744761</v>
      </c>
      <c r="CJ12" s="208">
        <v>5092592.5925925924</v>
      </c>
      <c r="CK12" s="208">
        <v>173439630</v>
      </c>
      <c r="CL12" s="208">
        <v>3090000</v>
      </c>
      <c r="CM12" s="208">
        <v>95140740.740740746</v>
      </c>
      <c r="CN12" s="208">
        <v>44072667</v>
      </c>
      <c r="CO12" s="208">
        <v>0</v>
      </c>
      <c r="CP12" s="208">
        <v>32000000</v>
      </c>
      <c r="CQ12" s="208">
        <v>17000000</v>
      </c>
      <c r="CR12" s="208">
        <v>49000000</v>
      </c>
      <c r="CS12" s="208">
        <v>0</v>
      </c>
      <c r="CT12" s="208">
        <v>18518518.518518519</v>
      </c>
      <c r="CU12" s="208">
        <v>125416666.66666667</v>
      </c>
      <c r="CV12" s="208">
        <v>14814814.814814813</v>
      </c>
      <c r="CW12" s="208">
        <v>0</v>
      </c>
      <c r="CX12" s="208">
        <v>0</v>
      </c>
      <c r="CY12" s="208"/>
      <c r="CZ12" s="208">
        <v>0</v>
      </c>
      <c r="DA12" s="208">
        <v>-54803596.342394352</v>
      </c>
      <c r="DB12" s="208">
        <v>0</v>
      </c>
      <c r="DC12" s="208">
        <v>0</v>
      </c>
      <c r="DD12" s="208">
        <v>0</v>
      </c>
      <c r="DE12" s="208">
        <v>-54803596.342394352</v>
      </c>
      <c r="DF12" s="208"/>
      <c r="DG12" s="208"/>
      <c r="DH12" s="208">
        <v>-54803596.342394352</v>
      </c>
    </row>
    <row r="13" spans="1:113">
      <c r="A13" t="s">
        <v>303</v>
      </c>
      <c r="B13" s="208">
        <v>9790986343.4517612</v>
      </c>
      <c r="C13" s="208">
        <v>7981105383.4105244</v>
      </c>
      <c r="D13" s="208">
        <v>7981105383.4105244</v>
      </c>
      <c r="E13" s="208">
        <v>0</v>
      </c>
      <c r="F13" s="208">
        <v>1770294325.5685096</v>
      </c>
      <c r="G13" s="208">
        <v>1770294325.5685096</v>
      </c>
      <c r="H13" s="208">
        <v>0</v>
      </c>
      <c r="I13" s="208">
        <v>0</v>
      </c>
      <c r="J13" s="208">
        <v>0</v>
      </c>
      <c r="K13" s="208">
        <v>0</v>
      </c>
      <c r="L13" s="208">
        <v>39586634.472727269</v>
      </c>
      <c r="M13" s="208"/>
      <c r="N13" s="208">
        <v>10000000</v>
      </c>
      <c r="O13" s="208">
        <v>29586634.472727269</v>
      </c>
      <c r="P13" s="208">
        <v>0</v>
      </c>
      <c r="Q13" s="208">
        <v>0</v>
      </c>
      <c r="R13" s="208"/>
      <c r="S13" s="208">
        <v>0</v>
      </c>
      <c r="T13" s="208">
        <v>0</v>
      </c>
      <c r="U13" s="208"/>
      <c r="V13" s="208">
        <v>9790986343.4517612</v>
      </c>
      <c r="W13" s="208">
        <v>8836459150.6870365</v>
      </c>
      <c r="X13" s="208">
        <v>7173700318.3121548</v>
      </c>
      <c r="Y13" s="208">
        <v>7173700318.3121548</v>
      </c>
      <c r="Z13" s="208">
        <v>0</v>
      </c>
      <c r="AA13" s="208">
        <v>1659040650.3748822</v>
      </c>
      <c r="AB13" s="208">
        <v>1659040650.3748822</v>
      </c>
      <c r="AC13" s="208">
        <v>0</v>
      </c>
      <c r="AD13" s="208">
        <v>0</v>
      </c>
      <c r="AE13" s="208">
        <v>0</v>
      </c>
      <c r="AF13" s="208">
        <v>0</v>
      </c>
      <c r="AG13" s="208">
        <v>3718182</v>
      </c>
      <c r="AH13" s="208">
        <v>0</v>
      </c>
      <c r="AI13" s="208">
        <v>3718182</v>
      </c>
      <c r="AJ13" s="208">
        <v>0</v>
      </c>
      <c r="AK13" s="208">
        <v>954527192.76472425</v>
      </c>
      <c r="AL13" s="208">
        <v>807405065.0983696</v>
      </c>
      <c r="AM13" s="208">
        <v>111253675.19362736</v>
      </c>
      <c r="AN13" s="208">
        <v>0</v>
      </c>
      <c r="AO13" s="208">
        <v>35868452.472727269</v>
      </c>
      <c r="AP13" s="208">
        <v>0</v>
      </c>
      <c r="AQ13" s="208">
        <v>10000000</v>
      </c>
      <c r="AR13" s="208">
        <v>25868452.472727269</v>
      </c>
      <c r="AS13" s="208">
        <v>0</v>
      </c>
      <c r="AT13" s="208">
        <v>15624052044.436253</v>
      </c>
      <c r="AU13" s="208">
        <v>1773306301.3698633</v>
      </c>
      <c r="AV13" s="208">
        <v>5128845743.0663891</v>
      </c>
      <c r="AW13" s="208">
        <v>581355055.15083325</v>
      </c>
      <c r="AX13" s="208">
        <v>881666666.66666663</v>
      </c>
      <c r="AY13" s="208">
        <v>3463288888.8888888</v>
      </c>
      <c r="AZ13" s="208">
        <v>202535132.35999998</v>
      </c>
      <c r="BA13" s="208"/>
      <c r="BB13" s="208"/>
      <c r="BC13" s="208">
        <v>8721900000</v>
      </c>
      <c r="BD13" s="208"/>
      <c r="BE13" s="208"/>
      <c r="BF13" s="208">
        <v>8721900000</v>
      </c>
      <c r="BG13" s="208">
        <v>0</v>
      </c>
      <c r="BH13" s="208">
        <v>11006305429</v>
      </c>
      <c r="BI13" s="208">
        <v>0</v>
      </c>
      <c r="BJ13" s="208"/>
      <c r="BK13" s="208"/>
      <c r="BL13" s="208"/>
      <c r="BM13" s="208"/>
      <c r="BN13" s="208">
        <v>11006305429</v>
      </c>
      <c r="BO13" s="208">
        <v>6567823437</v>
      </c>
      <c r="BP13" s="208">
        <v>2585831872</v>
      </c>
      <c r="BQ13" s="208">
        <v>1852650120</v>
      </c>
      <c r="BR13" s="208"/>
      <c r="BS13" s="208"/>
      <c r="BT13" s="208"/>
      <c r="BU13" s="208">
        <v>0</v>
      </c>
      <c r="BV13" s="208"/>
      <c r="BW13" s="208"/>
      <c r="BX13" s="208">
        <v>0</v>
      </c>
      <c r="BY13" s="208">
        <v>0</v>
      </c>
      <c r="BZ13" s="208">
        <v>2755207706.666667</v>
      </c>
      <c r="CA13" s="208">
        <v>1521777350</v>
      </c>
      <c r="CB13" s="208">
        <v>119500000</v>
      </c>
      <c r="CC13" s="208">
        <v>4408905</v>
      </c>
      <c r="CD13" s="208">
        <v>10757727</v>
      </c>
      <c r="CE13" s="208">
        <v>4000000</v>
      </c>
      <c r="CF13" s="208">
        <v>2000000</v>
      </c>
      <c r="CG13" s="208">
        <v>2000000</v>
      </c>
      <c r="CH13" s="208">
        <v>185185.18518518517</v>
      </c>
      <c r="CI13" s="208">
        <v>15744761</v>
      </c>
      <c r="CJ13" s="208">
        <v>6000000</v>
      </c>
      <c r="CK13" s="208">
        <v>173439630</v>
      </c>
      <c r="CL13" s="208">
        <v>3090000</v>
      </c>
      <c r="CM13" s="208">
        <v>0</v>
      </c>
      <c r="CN13" s="208">
        <v>44072667</v>
      </c>
      <c r="CO13" s="208">
        <v>195000000</v>
      </c>
      <c r="CP13" s="208">
        <v>32000000</v>
      </c>
      <c r="CQ13" s="208">
        <v>17000000</v>
      </c>
      <c r="CR13" s="208">
        <v>54000000</v>
      </c>
      <c r="CS13" s="208">
        <v>0</v>
      </c>
      <c r="CT13" s="208">
        <v>0</v>
      </c>
      <c r="CU13" s="208">
        <v>125416666.66666667</v>
      </c>
      <c r="CV13" s="208">
        <v>14814814.814814813</v>
      </c>
      <c r="CW13" s="208">
        <v>410000000</v>
      </c>
      <c r="CX13" s="208">
        <v>0</v>
      </c>
      <c r="CY13" s="208"/>
      <c r="CZ13" s="208">
        <v>0</v>
      </c>
      <c r="DA13" s="208">
        <v>2817066101.5343103</v>
      </c>
      <c r="DB13" s="208">
        <v>0</v>
      </c>
      <c r="DC13" s="208">
        <v>0</v>
      </c>
      <c r="DD13" s="208">
        <v>0</v>
      </c>
      <c r="DE13" s="208">
        <v>2817066101.5343103</v>
      </c>
      <c r="DF13" s="208"/>
      <c r="DG13" s="208"/>
      <c r="DH13" s="208">
        <v>2817066101.5343103</v>
      </c>
    </row>
    <row r="14" spans="1:113" s="296" customFormat="1" ht="15.5">
      <c r="A14" s="296" t="s">
        <v>405</v>
      </c>
      <c r="B14" s="312">
        <v>7430996486</v>
      </c>
      <c r="C14" s="312">
        <v>5605574756</v>
      </c>
      <c r="D14" s="312">
        <v>5605574756</v>
      </c>
      <c r="E14" s="312">
        <v>0</v>
      </c>
      <c r="F14" s="312">
        <v>1815421730</v>
      </c>
      <c r="G14" s="312">
        <v>1815421730</v>
      </c>
      <c r="H14" s="312">
        <v>0</v>
      </c>
      <c r="I14" s="312">
        <v>0</v>
      </c>
      <c r="J14" s="312"/>
      <c r="K14" s="312">
        <v>0</v>
      </c>
      <c r="L14" s="312">
        <v>10000000</v>
      </c>
      <c r="M14" s="312">
        <v>0</v>
      </c>
      <c r="N14" s="312">
        <v>10000000</v>
      </c>
      <c r="O14" s="313">
        <v>0</v>
      </c>
      <c r="P14" s="314">
        <v>0</v>
      </c>
      <c r="Q14" s="314">
        <v>0</v>
      </c>
      <c r="R14" s="314"/>
      <c r="S14" s="314">
        <v>0</v>
      </c>
      <c r="T14" s="314">
        <v>0</v>
      </c>
      <c r="U14" s="314"/>
      <c r="V14" s="314">
        <v>7430996486</v>
      </c>
      <c r="W14" s="314">
        <v>6755081961</v>
      </c>
      <c r="X14" s="314">
        <v>5063870958</v>
      </c>
      <c r="Y14" s="314">
        <v>5063870958</v>
      </c>
      <c r="Z14" s="314">
        <v>0</v>
      </c>
      <c r="AA14" s="314">
        <v>1683982821</v>
      </c>
      <c r="AB14" s="314">
        <v>1683982821</v>
      </c>
      <c r="AC14" s="314">
        <v>0</v>
      </c>
      <c r="AD14" s="314">
        <v>0</v>
      </c>
      <c r="AE14" s="314"/>
      <c r="AF14" s="314">
        <v>0</v>
      </c>
      <c r="AG14" s="314">
        <v>7228182</v>
      </c>
      <c r="AH14" s="313">
        <v>0</v>
      </c>
      <c r="AI14" s="313">
        <v>7228182</v>
      </c>
      <c r="AJ14" s="315">
        <v>0</v>
      </c>
      <c r="AK14" s="314">
        <v>675914525</v>
      </c>
      <c r="AL14" s="314">
        <v>541703798</v>
      </c>
      <c r="AM14" s="314">
        <v>131438909</v>
      </c>
      <c r="AN14" s="314">
        <v>0</v>
      </c>
      <c r="AO14" s="314">
        <v>2771818</v>
      </c>
      <c r="AP14" s="313">
        <v>0</v>
      </c>
      <c r="AQ14" s="313">
        <v>10000000</v>
      </c>
      <c r="AR14" s="313">
        <v>-7228182</v>
      </c>
      <c r="AS14" s="314">
        <v>0</v>
      </c>
      <c r="AT14" s="314">
        <v>583255055</v>
      </c>
      <c r="AU14" s="314">
        <v>1900000</v>
      </c>
      <c r="AV14" s="314">
        <v>581355055</v>
      </c>
      <c r="AW14" s="313">
        <v>581355055</v>
      </c>
      <c r="AX14" s="313">
        <v>0</v>
      </c>
      <c r="AY14" s="313">
        <v>0</v>
      </c>
      <c r="AZ14" s="313">
        <v>0</v>
      </c>
      <c r="BA14" s="313">
        <v>0</v>
      </c>
      <c r="BB14" s="313">
        <v>0</v>
      </c>
      <c r="BC14" s="314">
        <v>0</v>
      </c>
      <c r="BD14" s="313"/>
      <c r="BE14" s="313"/>
      <c r="BF14" s="313"/>
      <c r="BG14" s="313">
        <v>0</v>
      </c>
      <c r="BH14" s="314">
        <v>0</v>
      </c>
      <c r="BI14" s="314">
        <v>0</v>
      </c>
      <c r="BJ14" s="313"/>
      <c r="BK14" s="313"/>
      <c r="BL14" s="313"/>
      <c r="BM14" s="313"/>
      <c r="BN14" s="314"/>
      <c r="BO14" s="313"/>
      <c r="BP14" s="313"/>
      <c r="BQ14" s="313"/>
      <c r="BR14" s="313"/>
      <c r="BS14" s="313"/>
      <c r="BT14" s="313"/>
      <c r="BU14" s="313"/>
      <c r="BV14" s="313"/>
      <c r="BW14" s="313"/>
      <c r="BX14" s="314">
        <v>0</v>
      </c>
      <c r="BY14" s="314">
        <v>0</v>
      </c>
      <c r="BZ14" s="314">
        <v>1309763830</v>
      </c>
      <c r="CA14" s="314">
        <v>656209827</v>
      </c>
      <c r="CB14" s="314">
        <v>117777777</v>
      </c>
      <c r="CC14" s="314">
        <v>5615260</v>
      </c>
      <c r="CD14" s="314">
        <v>24705214</v>
      </c>
      <c r="CE14" s="314">
        <v>2500000</v>
      </c>
      <c r="CF14" s="314">
        <v>1851852</v>
      </c>
      <c r="CG14" s="314">
        <v>1500000</v>
      </c>
      <c r="CH14" s="314">
        <v>180000</v>
      </c>
      <c r="CI14" s="314">
        <v>10558104</v>
      </c>
      <c r="CJ14" s="314">
        <v>5540000</v>
      </c>
      <c r="CK14" s="314">
        <v>173439630</v>
      </c>
      <c r="CL14" s="314">
        <v>3200000</v>
      </c>
      <c r="CM14" s="314">
        <v>0</v>
      </c>
      <c r="CN14" s="314">
        <v>33769500</v>
      </c>
      <c r="CO14" s="314">
        <v>0</v>
      </c>
      <c r="CP14" s="314">
        <v>6000000</v>
      </c>
      <c r="CQ14" s="314">
        <v>15500000</v>
      </c>
      <c r="CR14" s="314">
        <v>72000000</v>
      </c>
      <c r="CS14" s="314">
        <v>40000000</v>
      </c>
      <c r="CT14" s="314">
        <v>0</v>
      </c>
      <c r="CU14" s="314">
        <v>115416666</v>
      </c>
      <c r="CV14" s="314">
        <v>14000000</v>
      </c>
      <c r="CW14" s="314">
        <v>10000000</v>
      </c>
      <c r="CX14" s="314">
        <v>0</v>
      </c>
      <c r="CY14" s="314">
        <v>0</v>
      </c>
      <c r="CZ14" s="314">
        <v>0</v>
      </c>
      <c r="DA14" s="314">
        <v>-50594250</v>
      </c>
      <c r="DB14" s="314">
        <v>0</v>
      </c>
      <c r="DC14" s="314">
        <v>0</v>
      </c>
      <c r="DD14" s="314">
        <v>0</v>
      </c>
      <c r="DE14" s="314">
        <v>-50594250</v>
      </c>
      <c r="DF14" s="273"/>
      <c r="DG14" s="273"/>
      <c r="DH14" s="273">
        <v>-50594250</v>
      </c>
    </row>
    <row r="15" spans="1:113" s="296" customFormat="1" ht="15.5">
      <c r="A15" s="296" t="s">
        <v>406</v>
      </c>
      <c r="B15" s="316">
        <v>8583276880</v>
      </c>
      <c r="C15" s="316">
        <v>2684922792</v>
      </c>
      <c r="D15" s="316">
        <v>2684922792</v>
      </c>
      <c r="E15" s="316">
        <v>0</v>
      </c>
      <c r="F15" s="316">
        <v>1927707792</v>
      </c>
      <c r="G15" s="316">
        <v>1927707792</v>
      </c>
      <c r="H15" s="316">
        <v>0</v>
      </c>
      <c r="I15" s="316">
        <v>3960646296</v>
      </c>
      <c r="J15" s="316"/>
      <c r="K15" s="316">
        <v>3960646296</v>
      </c>
      <c r="L15" s="316">
        <v>10000000</v>
      </c>
      <c r="M15" s="316">
        <v>0</v>
      </c>
      <c r="N15" s="316">
        <v>10000000</v>
      </c>
      <c r="O15" s="313">
        <v>0</v>
      </c>
      <c r="P15" s="314">
        <v>0</v>
      </c>
      <c r="Q15" s="314">
        <v>0</v>
      </c>
      <c r="R15" s="314"/>
      <c r="S15" s="314">
        <v>0</v>
      </c>
      <c r="T15" s="314">
        <v>0</v>
      </c>
      <c r="U15" s="314"/>
      <c r="V15" s="314">
        <v>8583276880</v>
      </c>
      <c r="W15" s="314">
        <v>7793153910</v>
      </c>
      <c r="X15" s="314">
        <v>2422492564</v>
      </c>
      <c r="Y15" s="314">
        <v>2422492564</v>
      </c>
      <c r="Z15" s="314">
        <v>0</v>
      </c>
      <c r="AA15" s="314">
        <v>1785712847</v>
      </c>
      <c r="AB15" s="314">
        <v>1785712847</v>
      </c>
      <c r="AC15" s="314">
        <v>0</v>
      </c>
      <c r="AD15" s="314">
        <v>3577720317</v>
      </c>
      <c r="AE15" s="314"/>
      <c r="AF15" s="314">
        <v>3577720317</v>
      </c>
      <c r="AG15" s="314">
        <v>7228182</v>
      </c>
      <c r="AH15" s="313">
        <v>0</v>
      </c>
      <c r="AI15" s="313">
        <v>7228182</v>
      </c>
      <c r="AJ15" s="315">
        <v>0</v>
      </c>
      <c r="AK15" s="314">
        <v>790122970</v>
      </c>
      <c r="AL15" s="314">
        <v>262430228</v>
      </c>
      <c r="AM15" s="314">
        <v>141994945</v>
      </c>
      <c r="AN15" s="314">
        <v>382925979</v>
      </c>
      <c r="AO15" s="314">
        <v>2771818</v>
      </c>
      <c r="AP15" s="313">
        <v>0</v>
      </c>
      <c r="AQ15" s="313">
        <v>10000000</v>
      </c>
      <c r="AR15" s="313">
        <v>-7228182</v>
      </c>
      <c r="AS15" s="314">
        <v>0</v>
      </c>
      <c r="AT15" s="314">
        <v>526994889</v>
      </c>
      <c r="AU15" s="314">
        <v>1900000</v>
      </c>
      <c r="AV15" s="314">
        <v>525094889</v>
      </c>
      <c r="AW15" s="313">
        <v>525094889</v>
      </c>
      <c r="AX15" s="313">
        <v>0</v>
      </c>
      <c r="AY15" s="313">
        <v>0</v>
      </c>
      <c r="AZ15" s="313">
        <v>0</v>
      </c>
      <c r="BA15" s="313">
        <v>0</v>
      </c>
      <c r="BB15" s="313">
        <v>0</v>
      </c>
      <c r="BC15" s="314">
        <v>0</v>
      </c>
      <c r="BD15" s="313"/>
      <c r="BE15" s="313"/>
      <c r="BF15" s="313"/>
      <c r="BG15" s="313">
        <v>0</v>
      </c>
      <c r="BH15" s="314">
        <v>0</v>
      </c>
      <c r="BI15" s="314">
        <v>0</v>
      </c>
      <c r="BJ15" s="313"/>
      <c r="BK15" s="313"/>
      <c r="BL15" s="313"/>
      <c r="BM15" s="313"/>
      <c r="BN15" s="314">
        <v>0</v>
      </c>
      <c r="BO15" s="313"/>
      <c r="BP15" s="313"/>
      <c r="BQ15" s="313"/>
      <c r="BR15" s="313"/>
      <c r="BS15" s="313"/>
      <c r="BT15" s="313"/>
      <c r="BU15" s="313"/>
      <c r="BV15" s="313"/>
      <c r="BW15" s="313"/>
      <c r="BX15" s="314">
        <v>0</v>
      </c>
      <c r="BY15" s="314">
        <v>0</v>
      </c>
      <c r="BZ15" s="314">
        <v>1432189163</v>
      </c>
      <c r="CA15" s="314">
        <v>681487900</v>
      </c>
      <c r="CB15" s="314">
        <v>114777777</v>
      </c>
      <c r="CC15" s="314">
        <v>5615247</v>
      </c>
      <c r="CD15" s="314">
        <v>24705214</v>
      </c>
      <c r="CE15" s="314">
        <v>2500000</v>
      </c>
      <c r="CF15" s="314">
        <v>1851852</v>
      </c>
      <c r="CG15" s="314">
        <v>3000000</v>
      </c>
      <c r="CH15" s="314">
        <v>180000</v>
      </c>
      <c r="CI15" s="314">
        <v>13205377</v>
      </c>
      <c r="CJ15" s="314">
        <v>5540000</v>
      </c>
      <c r="CK15" s="314">
        <v>173439630</v>
      </c>
      <c r="CL15" s="314">
        <v>3200000</v>
      </c>
      <c r="CM15" s="314">
        <v>0</v>
      </c>
      <c r="CN15" s="314">
        <v>33769500</v>
      </c>
      <c r="CO15" s="314">
        <v>0</v>
      </c>
      <c r="CP15" s="314">
        <v>6000000</v>
      </c>
      <c r="CQ15" s="314">
        <v>15500000</v>
      </c>
      <c r="CR15" s="314">
        <v>203000000</v>
      </c>
      <c r="CS15" s="314">
        <v>0</v>
      </c>
      <c r="CT15" s="314">
        <v>0</v>
      </c>
      <c r="CU15" s="314">
        <v>120416666</v>
      </c>
      <c r="CV15" s="314">
        <v>14000000</v>
      </c>
      <c r="CW15" s="314">
        <v>10000000</v>
      </c>
      <c r="CX15" s="314">
        <v>0</v>
      </c>
      <c r="CY15" s="314">
        <v>0</v>
      </c>
      <c r="CZ15" s="314">
        <v>0</v>
      </c>
      <c r="DA15" s="314">
        <v>-115071304</v>
      </c>
      <c r="DB15" s="314">
        <v>0</v>
      </c>
      <c r="DC15" s="314">
        <v>0</v>
      </c>
      <c r="DD15" s="314">
        <v>0</v>
      </c>
      <c r="DE15" s="314">
        <v>-115071304</v>
      </c>
      <c r="DF15" s="273"/>
      <c r="DG15" s="273"/>
      <c r="DH15" s="273">
        <v>-115071304</v>
      </c>
    </row>
    <row r="16" spans="1:113" s="296" customFormat="1" ht="15.5">
      <c r="A16" s="296" t="s">
        <v>407</v>
      </c>
      <c r="B16" s="316">
        <v>10174546674</v>
      </c>
      <c r="C16" s="316">
        <v>7207167543</v>
      </c>
      <c r="D16" s="316">
        <v>7207167543</v>
      </c>
      <c r="E16" s="316">
        <v>0</v>
      </c>
      <c r="F16" s="316">
        <v>2884808421</v>
      </c>
      <c r="G16" s="316">
        <v>2884808421</v>
      </c>
      <c r="H16" s="316">
        <v>0</v>
      </c>
      <c r="I16" s="316">
        <v>0</v>
      </c>
      <c r="J16" s="316"/>
      <c r="K16" s="316">
        <v>0</v>
      </c>
      <c r="L16" s="316">
        <v>82570710</v>
      </c>
      <c r="M16" s="316">
        <v>0</v>
      </c>
      <c r="N16" s="316">
        <v>20000000</v>
      </c>
      <c r="O16" s="313">
        <v>62570710</v>
      </c>
      <c r="P16" s="314">
        <v>0</v>
      </c>
      <c r="Q16" s="314">
        <v>0</v>
      </c>
      <c r="R16" s="314"/>
      <c r="S16" s="314">
        <v>0</v>
      </c>
      <c r="T16" s="314">
        <v>0</v>
      </c>
      <c r="U16" s="314"/>
      <c r="V16" s="314">
        <v>10174546674</v>
      </c>
      <c r="W16" s="314">
        <v>9188732975</v>
      </c>
      <c r="X16" s="314">
        <v>6510691233</v>
      </c>
      <c r="Y16" s="314">
        <v>6510691233</v>
      </c>
      <c r="Z16" s="314">
        <v>0</v>
      </c>
      <c r="AA16" s="314">
        <v>2670813560</v>
      </c>
      <c r="AB16" s="314">
        <v>2670813560</v>
      </c>
      <c r="AC16" s="314">
        <v>0</v>
      </c>
      <c r="AD16" s="314">
        <v>0</v>
      </c>
      <c r="AE16" s="314"/>
      <c r="AF16" s="314">
        <v>0</v>
      </c>
      <c r="AG16" s="314">
        <v>7228182</v>
      </c>
      <c r="AH16" s="313">
        <v>0</v>
      </c>
      <c r="AI16" s="313">
        <v>7228182</v>
      </c>
      <c r="AJ16" s="315">
        <v>0</v>
      </c>
      <c r="AK16" s="314">
        <v>985813699</v>
      </c>
      <c r="AL16" s="314">
        <v>696476310</v>
      </c>
      <c r="AM16" s="314">
        <v>213994861</v>
      </c>
      <c r="AN16" s="314">
        <v>0</v>
      </c>
      <c r="AO16" s="314">
        <v>75342528</v>
      </c>
      <c r="AP16" s="313">
        <v>0</v>
      </c>
      <c r="AQ16" s="313">
        <v>20000000</v>
      </c>
      <c r="AR16" s="313">
        <v>55342528</v>
      </c>
      <c r="AS16" s="314">
        <v>0</v>
      </c>
      <c r="AT16" s="314">
        <v>8733335675</v>
      </c>
      <c r="AU16" s="314">
        <v>1383573425</v>
      </c>
      <c r="AV16" s="314">
        <v>7349762250</v>
      </c>
      <c r="AW16" s="313">
        <v>581355055</v>
      </c>
      <c r="AX16" s="313">
        <v>323075000</v>
      </c>
      <c r="AY16" s="313">
        <v>4189750000</v>
      </c>
      <c r="AZ16" s="313">
        <v>95007195</v>
      </c>
      <c r="BA16" s="313">
        <v>323075000</v>
      </c>
      <c r="BB16" s="313">
        <v>1837500000</v>
      </c>
      <c r="BC16" s="314">
        <v>0</v>
      </c>
      <c r="BD16" s="313"/>
      <c r="BE16" s="313"/>
      <c r="BF16" s="313"/>
      <c r="BG16" s="313">
        <v>0</v>
      </c>
      <c r="BH16" s="314">
        <v>6231560689</v>
      </c>
      <c r="BI16" s="314">
        <v>0</v>
      </c>
      <c r="BJ16" s="313"/>
      <c r="BK16" s="313"/>
      <c r="BL16" s="313"/>
      <c r="BM16" s="313"/>
      <c r="BN16" s="314">
        <v>6231560689</v>
      </c>
      <c r="BO16" s="313">
        <v>4052324117</v>
      </c>
      <c r="BP16" s="313">
        <v>1713196</v>
      </c>
      <c r="BQ16" s="313">
        <v>2177523376</v>
      </c>
      <c r="BR16" s="313"/>
      <c r="BS16" s="313"/>
      <c r="BT16" s="313"/>
      <c r="BU16" s="313"/>
      <c r="BV16" s="313"/>
      <c r="BW16" s="313"/>
      <c r="BX16" s="314">
        <v>0</v>
      </c>
      <c r="BY16" s="314">
        <v>0</v>
      </c>
      <c r="BZ16" s="314">
        <v>1604975277</v>
      </c>
      <c r="CA16" s="314">
        <v>704746287</v>
      </c>
      <c r="CB16" s="314">
        <v>113777777</v>
      </c>
      <c r="CC16" s="314">
        <v>5615247</v>
      </c>
      <c r="CD16" s="314">
        <v>24705214</v>
      </c>
      <c r="CE16" s="314">
        <v>2500000</v>
      </c>
      <c r="CF16" s="314">
        <v>1851852</v>
      </c>
      <c r="CG16" s="314">
        <v>3700000</v>
      </c>
      <c r="CH16" s="314">
        <v>180000</v>
      </c>
      <c r="CI16" s="314">
        <v>13033104</v>
      </c>
      <c r="CJ16" s="314">
        <v>5540000</v>
      </c>
      <c r="CK16" s="314">
        <v>173439630</v>
      </c>
      <c r="CL16" s="314">
        <v>3200000</v>
      </c>
      <c r="CM16" s="314">
        <v>40500000</v>
      </c>
      <c r="CN16" s="314">
        <v>34269500</v>
      </c>
      <c r="CO16" s="314">
        <v>0</v>
      </c>
      <c r="CP16" s="314">
        <v>6000000</v>
      </c>
      <c r="CQ16" s="314">
        <v>15500000</v>
      </c>
      <c r="CR16" s="314">
        <v>107000000</v>
      </c>
      <c r="CS16" s="314">
        <v>0</v>
      </c>
      <c r="CT16" s="314">
        <v>10000000</v>
      </c>
      <c r="CU16" s="314">
        <v>115416666</v>
      </c>
      <c r="CV16" s="314">
        <v>14000000</v>
      </c>
      <c r="CW16" s="314">
        <v>210000000</v>
      </c>
      <c r="CX16" s="314">
        <v>0</v>
      </c>
      <c r="CY16" s="314">
        <v>0</v>
      </c>
      <c r="CZ16" s="314">
        <v>0</v>
      </c>
      <c r="DA16" s="314">
        <v>1882613408</v>
      </c>
      <c r="DB16" s="314">
        <v>0</v>
      </c>
      <c r="DC16" s="314">
        <v>0</v>
      </c>
      <c r="DD16" s="314">
        <v>0</v>
      </c>
      <c r="DE16" s="314">
        <v>1882613408</v>
      </c>
      <c r="DF16" s="273"/>
      <c r="DG16" s="273"/>
      <c r="DH16" s="273">
        <v>1882613408</v>
      </c>
    </row>
    <row r="17" spans="1:112" s="296" customFormat="1" ht="15.5">
      <c r="A17" s="296" t="s">
        <v>408</v>
      </c>
      <c r="B17" s="312">
        <v>12180080870</v>
      </c>
      <c r="C17" s="312">
        <v>5605574756</v>
      </c>
      <c r="D17" s="312">
        <v>5605574756</v>
      </c>
      <c r="E17" s="312">
        <v>0</v>
      </c>
      <c r="F17" s="312">
        <v>6554506114</v>
      </c>
      <c r="G17" s="312">
        <v>6554506114</v>
      </c>
      <c r="H17" s="312">
        <v>0</v>
      </c>
      <c r="I17" s="312">
        <v>0</v>
      </c>
      <c r="J17" s="312"/>
      <c r="K17" s="312">
        <v>0</v>
      </c>
      <c r="L17" s="312">
        <v>20000000</v>
      </c>
      <c r="M17" s="312">
        <v>0</v>
      </c>
      <c r="N17" s="312">
        <v>20000000</v>
      </c>
      <c r="O17" s="313">
        <v>0</v>
      </c>
      <c r="P17" s="314">
        <v>0</v>
      </c>
      <c r="Q17" s="314">
        <v>0</v>
      </c>
      <c r="R17" s="314"/>
      <c r="S17" s="314">
        <v>0</v>
      </c>
      <c r="T17" s="314">
        <v>0</v>
      </c>
      <c r="U17" s="314"/>
      <c r="V17" s="314">
        <v>12180080870</v>
      </c>
      <c r="W17" s="314">
        <v>11131877837</v>
      </c>
      <c r="X17" s="314">
        <v>5063870958</v>
      </c>
      <c r="Y17" s="314">
        <v>5063870958</v>
      </c>
      <c r="Z17" s="314">
        <v>0</v>
      </c>
      <c r="AA17" s="314">
        <v>6060778697</v>
      </c>
      <c r="AB17" s="314">
        <v>6060778697</v>
      </c>
      <c r="AC17" s="314">
        <v>0</v>
      </c>
      <c r="AD17" s="314">
        <v>0</v>
      </c>
      <c r="AE17" s="314"/>
      <c r="AF17" s="314">
        <v>0</v>
      </c>
      <c r="AG17" s="314">
        <v>7228182</v>
      </c>
      <c r="AH17" s="313">
        <v>0</v>
      </c>
      <c r="AI17" s="313">
        <v>7228182</v>
      </c>
      <c r="AJ17" s="315">
        <v>0</v>
      </c>
      <c r="AK17" s="314">
        <v>1048203033</v>
      </c>
      <c r="AL17" s="314">
        <v>541703798</v>
      </c>
      <c r="AM17" s="314">
        <v>493727417</v>
      </c>
      <c r="AN17" s="314">
        <v>0</v>
      </c>
      <c r="AO17" s="314">
        <v>12771818</v>
      </c>
      <c r="AP17" s="313">
        <v>0</v>
      </c>
      <c r="AQ17" s="313">
        <v>20000000</v>
      </c>
      <c r="AR17" s="313">
        <v>-7228182</v>
      </c>
      <c r="AS17" s="314">
        <v>0</v>
      </c>
      <c r="AT17" s="314">
        <v>564501666</v>
      </c>
      <c r="AU17" s="314">
        <v>1900000</v>
      </c>
      <c r="AV17" s="314">
        <v>562601666</v>
      </c>
      <c r="AW17" s="313">
        <v>562601666</v>
      </c>
      <c r="AX17" s="313">
        <v>0</v>
      </c>
      <c r="AY17" s="313">
        <v>0</v>
      </c>
      <c r="AZ17" s="313">
        <v>0</v>
      </c>
      <c r="BA17" s="313">
        <v>0</v>
      </c>
      <c r="BB17" s="313">
        <v>0</v>
      </c>
      <c r="BC17" s="314">
        <v>0</v>
      </c>
      <c r="BD17" s="313"/>
      <c r="BE17" s="313"/>
      <c r="BF17" s="313"/>
      <c r="BG17" s="313">
        <v>0</v>
      </c>
      <c r="BH17" s="314">
        <v>0</v>
      </c>
      <c r="BI17" s="314">
        <v>0</v>
      </c>
      <c r="BJ17" s="313"/>
      <c r="BK17" s="313"/>
      <c r="BL17" s="313"/>
      <c r="BM17" s="313"/>
      <c r="BN17" s="314">
        <v>0</v>
      </c>
      <c r="BO17" s="313"/>
      <c r="BP17" s="313"/>
      <c r="BQ17" s="313"/>
      <c r="BR17" s="313"/>
      <c r="BS17" s="313"/>
      <c r="BT17" s="313"/>
      <c r="BU17" s="313"/>
      <c r="BV17" s="313"/>
      <c r="BW17" s="313"/>
      <c r="BX17" s="314">
        <v>0</v>
      </c>
      <c r="BY17" s="314">
        <v>0</v>
      </c>
      <c r="BZ17" s="314">
        <v>1429038467</v>
      </c>
      <c r="CA17" s="314">
        <v>710186400</v>
      </c>
      <c r="CB17" s="314">
        <v>117777777</v>
      </c>
      <c r="CC17" s="314">
        <v>5615247</v>
      </c>
      <c r="CD17" s="314">
        <v>24705214</v>
      </c>
      <c r="CE17" s="314">
        <v>2500000</v>
      </c>
      <c r="CF17" s="314">
        <v>1851852</v>
      </c>
      <c r="CG17" s="314">
        <v>15800000</v>
      </c>
      <c r="CH17" s="314">
        <v>180000</v>
      </c>
      <c r="CI17" s="314">
        <v>20056181</v>
      </c>
      <c r="CJ17" s="314">
        <v>5540000</v>
      </c>
      <c r="CK17" s="314">
        <v>173439630</v>
      </c>
      <c r="CL17" s="314">
        <v>3200000</v>
      </c>
      <c r="CM17" s="314">
        <v>0</v>
      </c>
      <c r="CN17" s="314">
        <v>32269500</v>
      </c>
      <c r="CO17" s="314">
        <v>0</v>
      </c>
      <c r="CP17" s="314">
        <v>6000000</v>
      </c>
      <c r="CQ17" s="314">
        <v>15500000</v>
      </c>
      <c r="CR17" s="314">
        <v>132000000</v>
      </c>
      <c r="CS17" s="314">
        <v>18000000</v>
      </c>
      <c r="CT17" s="314">
        <v>0</v>
      </c>
      <c r="CU17" s="314">
        <v>120416666</v>
      </c>
      <c r="CV17" s="314">
        <v>14000000</v>
      </c>
      <c r="CW17" s="314">
        <v>10000000</v>
      </c>
      <c r="CX17" s="314">
        <v>0</v>
      </c>
      <c r="CY17" s="314">
        <v>0</v>
      </c>
      <c r="CZ17" s="314">
        <v>0</v>
      </c>
      <c r="DA17" s="314">
        <v>183666232</v>
      </c>
      <c r="DB17" s="314">
        <v>0</v>
      </c>
      <c r="DC17" s="314">
        <v>0</v>
      </c>
      <c r="DD17" s="314">
        <v>0</v>
      </c>
      <c r="DE17" s="314">
        <v>183666232</v>
      </c>
      <c r="DF17" s="273"/>
      <c r="DG17" s="273"/>
      <c r="DH17" s="273">
        <v>183666232</v>
      </c>
    </row>
    <row r="18" spans="1:112" s="296" customFormat="1" ht="15.5">
      <c r="A18" s="296" t="s">
        <v>409</v>
      </c>
      <c r="B18" s="312">
        <v>11934279308</v>
      </c>
      <c r="C18" s="312">
        <v>5841303928</v>
      </c>
      <c r="D18" s="312">
        <v>5841303928</v>
      </c>
      <c r="E18" s="312">
        <v>0</v>
      </c>
      <c r="F18" s="312">
        <v>6082975380</v>
      </c>
      <c r="G18" s="312">
        <v>6082975380</v>
      </c>
      <c r="H18" s="312">
        <v>0</v>
      </c>
      <c r="I18" s="312">
        <v>0</v>
      </c>
      <c r="J18" s="312"/>
      <c r="K18" s="312">
        <v>0</v>
      </c>
      <c r="L18" s="312">
        <v>10000000</v>
      </c>
      <c r="M18" s="312">
        <v>0</v>
      </c>
      <c r="N18" s="312">
        <v>10000000</v>
      </c>
      <c r="O18" s="313">
        <v>0</v>
      </c>
      <c r="P18" s="314">
        <v>0</v>
      </c>
      <c r="Q18" s="314">
        <v>0</v>
      </c>
      <c r="R18" s="314"/>
      <c r="S18" s="314">
        <v>0</v>
      </c>
      <c r="T18" s="314">
        <v>0</v>
      </c>
      <c r="U18" s="314"/>
      <c r="V18" s="314">
        <v>11934279308</v>
      </c>
      <c r="W18" s="314">
        <v>10915233570</v>
      </c>
      <c r="X18" s="314">
        <v>5282756790</v>
      </c>
      <c r="Y18" s="314">
        <v>5282756790</v>
      </c>
      <c r="Z18" s="314">
        <v>0</v>
      </c>
      <c r="AA18" s="314">
        <v>5625248598</v>
      </c>
      <c r="AB18" s="314">
        <v>5625248598</v>
      </c>
      <c r="AC18" s="314">
        <v>0</v>
      </c>
      <c r="AD18" s="314">
        <v>0</v>
      </c>
      <c r="AE18" s="314"/>
      <c r="AF18" s="314">
        <v>0</v>
      </c>
      <c r="AG18" s="314">
        <v>7228182</v>
      </c>
      <c r="AH18" s="313">
        <v>0</v>
      </c>
      <c r="AI18" s="313">
        <v>7228182</v>
      </c>
      <c r="AJ18" s="315">
        <v>0</v>
      </c>
      <c r="AK18" s="314">
        <v>1019045738</v>
      </c>
      <c r="AL18" s="314">
        <v>558547138</v>
      </c>
      <c r="AM18" s="314">
        <v>457726782</v>
      </c>
      <c r="AN18" s="314">
        <v>0</v>
      </c>
      <c r="AO18" s="314">
        <v>2771818</v>
      </c>
      <c r="AP18" s="313">
        <v>0</v>
      </c>
      <c r="AQ18" s="313">
        <v>10000000</v>
      </c>
      <c r="AR18" s="313">
        <v>-7228182</v>
      </c>
      <c r="AS18" s="314">
        <v>0</v>
      </c>
      <c r="AT18" s="314">
        <v>583255055</v>
      </c>
      <c r="AU18" s="314">
        <v>1900000</v>
      </c>
      <c r="AV18" s="314">
        <v>581355055</v>
      </c>
      <c r="AW18" s="313">
        <v>581355055</v>
      </c>
      <c r="AX18" s="313">
        <v>0</v>
      </c>
      <c r="AY18" s="313">
        <v>0</v>
      </c>
      <c r="AZ18" s="313">
        <v>0</v>
      </c>
      <c r="BA18" s="313">
        <v>0</v>
      </c>
      <c r="BB18" s="313">
        <v>0</v>
      </c>
      <c r="BC18" s="314">
        <v>0</v>
      </c>
      <c r="BD18" s="313"/>
      <c r="BE18" s="313"/>
      <c r="BF18" s="313"/>
      <c r="BG18" s="313">
        <v>0</v>
      </c>
      <c r="BH18" s="314">
        <v>0</v>
      </c>
      <c r="BI18" s="314">
        <v>0</v>
      </c>
      <c r="BJ18" s="313"/>
      <c r="BK18" s="313"/>
      <c r="BL18" s="313"/>
      <c r="BM18" s="313"/>
      <c r="BN18" s="314">
        <v>0</v>
      </c>
      <c r="BO18" s="313"/>
      <c r="BP18" s="313"/>
      <c r="BQ18" s="313"/>
      <c r="BR18" s="313"/>
      <c r="BS18" s="313"/>
      <c r="BT18" s="313"/>
      <c r="BU18" s="313"/>
      <c r="BV18" s="313"/>
      <c r="BW18" s="313"/>
      <c r="BX18" s="314">
        <v>0</v>
      </c>
      <c r="BY18" s="314">
        <v>0</v>
      </c>
      <c r="BZ18" s="314">
        <v>2073491748</v>
      </c>
      <c r="CA18" s="314">
        <v>699186400</v>
      </c>
      <c r="CB18" s="314">
        <v>123777777</v>
      </c>
      <c r="CC18" s="314">
        <v>4495802</v>
      </c>
      <c r="CD18" s="314">
        <v>24705214</v>
      </c>
      <c r="CE18" s="314">
        <v>2500000</v>
      </c>
      <c r="CF18" s="314">
        <v>2777778</v>
      </c>
      <c r="CG18" s="314">
        <v>1500000</v>
      </c>
      <c r="CH18" s="314">
        <v>180000</v>
      </c>
      <c r="CI18" s="314">
        <v>14002981</v>
      </c>
      <c r="CJ18" s="314">
        <v>5540000</v>
      </c>
      <c r="CK18" s="314">
        <v>173439630</v>
      </c>
      <c r="CL18" s="314">
        <v>3200000</v>
      </c>
      <c r="CM18" s="314">
        <v>0</v>
      </c>
      <c r="CN18" s="314">
        <v>29769500</v>
      </c>
      <c r="CO18" s="314">
        <v>0</v>
      </c>
      <c r="CP18" s="314">
        <v>6000000</v>
      </c>
      <c r="CQ18" s="314">
        <v>15500000</v>
      </c>
      <c r="CR18" s="314">
        <v>102000000</v>
      </c>
      <c r="CS18" s="314">
        <v>115500000</v>
      </c>
      <c r="CT18" s="314">
        <v>10000000</v>
      </c>
      <c r="CU18" s="314">
        <v>115416666</v>
      </c>
      <c r="CV18" s="314">
        <v>14000000</v>
      </c>
      <c r="CW18" s="314">
        <v>10000000</v>
      </c>
      <c r="CX18" s="314">
        <v>0</v>
      </c>
      <c r="CY18" s="314">
        <v>600000000</v>
      </c>
      <c r="CZ18" s="314">
        <v>0</v>
      </c>
      <c r="DA18" s="314">
        <v>-471190955</v>
      </c>
      <c r="DB18" s="314">
        <v>0</v>
      </c>
      <c r="DC18" s="314">
        <v>0</v>
      </c>
      <c r="DD18" s="314">
        <v>0</v>
      </c>
      <c r="DE18" s="314">
        <v>-471190955</v>
      </c>
      <c r="DF18" s="273"/>
      <c r="DG18" s="273"/>
      <c r="DH18" s="273">
        <v>-471190955</v>
      </c>
    </row>
    <row r="19" spans="1:112" s="296" customFormat="1" ht="15.5">
      <c r="A19" s="296" t="s">
        <v>410</v>
      </c>
      <c r="B19" s="312">
        <v>12940754388</v>
      </c>
      <c r="C19" s="312">
        <v>5605574756</v>
      </c>
      <c r="D19" s="312">
        <v>5605574756</v>
      </c>
      <c r="E19" s="312">
        <v>362697985</v>
      </c>
      <c r="F19" s="312">
        <v>7205062568</v>
      </c>
      <c r="G19" s="312">
        <v>7205062568</v>
      </c>
      <c r="H19" s="312">
        <v>0</v>
      </c>
      <c r="I19" s="312">
        <v>0</v>
      </c>
      <c r="J19" s="312"/>
      <c r="K19" s="312">
        <v>0</v>
      </c>
      <c r="L19" s="312">
        <v>130117064</v>
      </c>
      <c r="M19" s="312">
        <v>0</v>
      </c>
      <c r="N19" s="312">
        <v>30000000</v>
      </c>
      <c r="O19" s="313">
        <v>100117064</v>
      </c>
      <c r="P19" s="314">
        <v>0</v>
      </c>
      <c r="Q19" s="314">
        <v>0</v>
      </c>
      <c r="R19" s="314"/>
      <c r="S19" s="314">
        <v>0</v>
      </c>
      <c r="T19" s="314">
        <v>0</v>
      </c>
      <c r="U19" s="314"/>
      <c r="V19" s="314">
        <v>12940754388</v>
      </c>
      <c r="W19" s="314">
        <v>11732965898</v>
      </c>
      <c r="X19" s="314">
        <v>5063870958</v>
      </c>
      <c r="Y19" s="314">
        <v>5063870958</v>
      </c>
      <c r="Z19" s="314">
        <v>0</v>
      </c>
      <c r="AA19" s="314">
        <v>6661866758</v>
      </c>
      <c r="AB19" s="314">
        <v>6661866758</v>
      </c>
      <c r="AC19" s="314">
        <v>0</v>
      </c>
      <c r="AD19" s="314">
        <v>0</v>
      </c>
      <c r="AE19" s="314"/>
      <c r="AF19" s="314">
        <v>0</v>
      </c>
      <c r="AG19" s="314">
        <v>7228182</v>
      </c>
      <c r="AH19" s="313">
        <v>0</v>
      </c>
      <c r="AI19" s="313">
        <v>7228182</v>
      </c>
      <c r="AJ19" s="315">
        <v>0</v>
      </c>
      <c r="AK19" s="314">
        <v>1207788490</v>
      </c>
      <c r="AL19" s="314">
        <v>541703798</v>
      </c>
      <c r="AM19" s="314">
        <v>543195810</v>
      </c>
      <c r="AN19" s="314">
        <v>0</v>
      </c>
      <c r="AO19" s="314">
        <v>122888882</v>
      </c>
      <c r="AP19" s="313">
        <v>0</v>
      </c>
      <c r="AQ19" s="313">
        <v>30000000</v>
      </c>
      <c r="AR19" s="313">
        <v>92888882</v>
      </c>
      <c r="AS19" s="314">
        <v>0</v>
      </c>
      <c r="AT19" s="314">
        <v>8277104614</v>
      </c>
      <c r="AU19" s="314">
        <v>1399111507</v>
      </c>
      <c r="AV19" s="314">
        <v>6877993107</v>
      </c>
      <c r="AW19" s="313">
        <v>562601666</v>
      </c>
      <c r="AX19" s="313">
        <v>326664722</v>
      </c>
      <c r="AY19" s="313">
        <v>4009469444</v>
      </c>
      <c r="AZ19" s="313">
        <v>96062830</v>
      </c>
      <c r="BA19" s="313">
        <v>25277778</v>
      </c>
      <c r="BB19" s="313">
        <v>1857916667</v>
      </c>
      <c r="BC19" s="314">
        <v>0</v>
      </c>
      <c r="BD19" s="313"/>
      <c r="BE19" s="313"/>
      <c r="BF19" s="313"/>
      <c r="BG19" s="313">
        <v>0</v>
      </c>
      <c r="BH19" s="314">
        <v>4191772984</v>
      </c>
      <c r="BI19" s="314">
        <v>0</v>
      </c>
      <c r="BJ19" s="313"/>
      <c r="BK19" s="313"/>
      <c r="BL19" s="313"/>
      <c r="BM19" s="313"/>
      <c r="BN19" s="314">
        <v>4191772984</v>
      </c>
      <c r="BO19" s="313">
        <v>2395537542</v>
      </c>
      <c r="BP19" s="313">
        <v>-471434852</v>
      </c>
      <c r="BQ19" s="313">
        <v>2267670294</v>
      </c>
      <c r="BR19" s="313"/>
      <c r="BS19" s="313"/>
      <c r="BT19" s="313"/>
      <c r="BU19" s="313"/>
      <c r="BV19" s="313"/>
      <c r="BW19" s="313"/>
      <c r="BX19" s="314">
        <v>0</v>
      </c>
      <c r="BY19" s="314">
        <v>0</v>
      </c>
      <c r="BZ19" s="314">
        <v>2973625065</v>
      </c>
      <c r="CA19" s="314">
        <v>864686400</v>
      </c>
      <c r="CB19" s="314">
        <v>113777777</v>
      </c>
      <c r="CC19" s="314">
        <v>4458919</v>
      </c>
      <c r="CD19" s="314">
        <v>24705214</v>
      </c>
      <c r="CE19" s="314">
        <v>2500000</v>
      </c>
      <c r="CF19" s="314">
        <v>2777778</v>
      </c>
      <c r="CG19" s="314">
        <v>3500000</v>
      </c>
      <c r="CH19" s="314">
        <v>180000</v>
      </c>
      <c r="CI19" s="314">
        <v>10273181</v>
      </c>
      <c r="CJ19" s="314">
        <v>6040000</v>
      </c>
      <c r="CK19" s="314">
        <v>173439630</v>
      </c>
      <c r="CL19" s="314">
        <v>3200000</v>
      </c>
      <c r="CM19" s="314">
        <v>0</v>
      </c>
      <c r="CN19" s="314">
        <v>33769500</v>
      </c>
      <c r="CO19" s="314">
        <v>210000000</v>
      </c>
      <c r="CP19" s="314">
        <v>6000000</v>
      </c>
      <c r="CQ19" s="314">
        <v>15500000</v>
      </c>
      <c r="CR19" s="314">
        <v>152000000</v>
      </c>
      <c r="CS19" s="314">
        <v>2400000</v>
      </c>
      <c r="CT19" s="314">
        <v>0</v>
      </c>
      <c r="CU19" s="314">
        <v>120416666</v>
      </c>
      <c r="CV19" s="314">
        <v>14000000</v>
      </c>
      <c r="CW19" s="314">
        <v>210000000</v>
      </c>
      <c r="CX19" s="314">
        <v>0</v>
      </c>
      <c r="CY19" s="314">
        <v>1000000000</v>
      </c>
      <c r="CZ19" s="314">
        <v>0</v>
      </c>
      <c r="DA19" s="314">
        <v>2319495055</v>
      </c>
      <c r="DB19" s="314">
        <v>0</v>
      </c>
      <c r="DC19" s="314">
        <v>0</v>
      </c>
      <c r="DD19" s="314">
        <v>0</v>
      </c>
      <c r="DE19" s="314">
        <v>2319495055</v>
      </c>
      <c r="DF19" s="273"/>
      <c r="DG19" s="273"/>
      <c r="DH19" s="273">
        <v>2319495055</v>
      </c>
    </row>
    <row r="20" spans="1:112" s="296" customFormat="1" ht="15.5">
      <c r="A20" s="296" t="s">
        <v>411</v>
      </c>
      <c r="B20" s="312">
        <v>49533062151</v>
      </c>
      <c r="C20" s="312">
        <v>7569865528</v>
      </c>
      <c r="D20" s="312">
        <v>7207167543</v>
      </c>
      <c r="E20" s="312">
        <v>1523331536</v>
      </c>
      <c r="F20" s="312">
        <v>41933196623</v>
      </c>
      <c r="G20" s="312">
        <v>6989093106</v>
      </c>
      <c r="H20" s="312">
        <v>34944103517</v>
      </c>
      <c r="I20" s="312">
        <v>0</v>
      </c>
      <c r="J20" s="312"/>
      <c r="K20" s="312">
        <v>0</v>
      </c>
      <c r="L20" s="312">
        <v>30000000</v>
      </c>
      <c r="M20" s="312">
        <v>0</v>
      </c>
      <c r="N20" s="312">
        <v>30000000</v>
      </c>
      <c r="O20" s="313">
        <v>0</v>
      </c>
      <c r="P20" s="314">
        <v>0</v>
      </c>
      <c r="Q20" s="314">
        <v>0</v>
      </c>
      <c r="R20" s="314"/>
      <c r="S20" s="314">
        <v>0</v>
      </c>
      <c r="T20" s="314">
        <v>0</v>
      </c>
      <c r="U20" s="314"/>
      <c r="V20" s="314">
        <v>49533062151</v>
      </c>
      <c r="W20" s="314">
        <v>45778470589</v>
      </c>
      <c r="X20" s="314">
        <v>6840416674</v>
      </c>
      <c r="Y20" s="314">
        <v>6510691233</v>
      </c>
      <c r="Z20" s="314">
        <v>329725441</v>
      </c>
      <c r="AA20" s="314">
        <v>38930825733</v>
      </c>
      <c r="AB20" s="314">
        <v>6460980595</v>
      </c>
      <c r="AC20" s="314">
        <v>32469845138</v>
      </c>
      <c r="AD20" s="314">
        <v>0</v>
      </c>
      <c r="AE20" s="314"/>
      <c r="AF20" s="314">
        <v>0</v>
      </c>
      <c r="AG20" s="314">
        <v>7228182</v>
      </c>
      <c r="AH20" s="313">
        <v>0</v>
      </c>
      <c r="AI20" s="313">
        <v>7228182</v>
      </c>
      <c r="AJ20" s="315">
        <v>0</v>
      </c>
      <c r="AK20" s="314">
        <v>3754591562</v>
      </c>
      <c r="AL20" s="314">
        <v>729448854</v>
      </c>
      <c r="AM20" s="314">
        <v>3002370890</v>
      </c>
      <c r="AN20" s="314">
        <v>0</v>
      </c>
      <c r="AO20" s="314">
        <v>22771818</v>
      </c>
      <c r="AP20" s="313">
        <v>0</v>
      </c>
      <c r="AQ20" s="313">
        <v>30000000</v>
      </c>
      <c r="AR20" s="313">
        <v>-7228182</v>
      </c>
      <c r="AS20" s="314">
        <v>0</v>
      </c>
      <c r="AT20" s="314">
        <v>583255055</v>
      </c>
      <c r="AU20" s="314">
        <v>1900000</v>
      </c>
      <c r="AV20" s="314">
        <v>581355055</v>
      </c>
      <c r="AW20" s="313">
        <v>581355055</v>
      </c>
      <c r="AX20" s="313">
        <v>0</v>
      </c>
      <c r="AY20" s="313">
        <v>0</v>
      </c>
      <c r="AZ20" s="313">
        <v>0</v>
      </c>
      <c r="BA20" s="313">
        <v>0</v>
      </c>
      <c r="BB20" s="313">
        <v>0</v>
      </c>
      <c r="BC20" s="314">
        <v>0</v>
      </c>
      <c r="BD20" s="313"/>
      <c r="BE20" s="313"/>
      <c r="BF20" s="313"/>
      <c r="BG20" s="313">
        <v>0</v>
      </c>
      <c r="BH20" s="314">
        <v>0</v>
      </c>
      <c r="BI20" s="314">
        <v>0</v>
      </c>
      <c r="BJ20" s="313"/>
      <c r="BK20" s="313"/>
      <c r="BL20" s="313"/>
      <c r="BM20" s="313"/>
      <c r="BN20" s="314">
        <v>0</v>
      </c>
      <c r="BO20" s="313"/>
      <c r="BP20" s="313"/>
      <c r="BQ20" s="313"/>
      <c r="BR20" s="313"/>
      <c r="BS20" s="313"/>
      <c r="BT20" s="313"/>
      <c r="BU20" s="313"/>
      <c r="BV20" s="313"/>
      <c r="BW20" s="313"/>
      <c r="BX20" s="314">
        <v>0</v>
      </c>
      <c r="BY20" s="314">
        <v>0</v>
      </c>
      <c r="BZ20" s="314">
        <v>1581382139</v>
      </c>
      <c r="CA20" s="314">
        <v>699186400</v>
      </c>
      <c r="CB20" s="314">
        <v>113777777</v>
      </c>
      <c r="CC20" s="314">
        <v>4458919</v>
      </c>
      <c r="CD20" s="314">
        <v>24705214</v>
      </c>
      <c r="CE20" s="314">
        <v>2500000</v>
      </c>
      <c r="CF20" s="314">
        <v>1851852</v>
      </c>
      <c r="CG20" s="314">
        <v>1300000</v>
      </c>
      <c r="CH20" s="314">
        <v>180000</v>
      </c>
      <c r="CI20" s="314">
        <v>10056181</v>
      </c>
      <c r="CJ20" s="314">
        <v>6040000</v>
      </c>
      <c r="CK20" s="314">
        <v>173439630</v>
      </c>
      <c r="CL20" s="314">
        <v>3200000</v>
      </c>
      <c r="CM20" s="314">
        <v>0</v>
      </c>
      <c r="CN20" s="314">
        <v>31769500</v>
      </c>
      <c r="CO20" s="314">
        <v>0</v>
      </c>
      <c r="CP20" s="314">
        <v>6000000</v>
      </c>
      <c r="CQ20" s="314">
        <v>15500000</v>
      </c>
      <c r="CR20" s="314">
        <v>97000000</v>
      </c>
      <c r="CS20" s="314">
        <v>0</v>
      </c>
      <c r="CT20" s="314">
        <v>46000000</v>
      </c>
      <c r="CU20" s="314">
        <v>120416666</v>
      </c>
      <c r="CV20" s="314">
        <v>14000000</v>
      </c>
      <c r="CW20" s="314">
        <v>10000000</v>
      </c>
      <c r="CX20" s="314">
        <v>0</v>
      </c>
      <c r="CY20" s="314">
        <v>200000000</v>
      </c>
      <c r="CZ20" s="314">
        <v>0</v>
      </c>
      <c r="DA20" s="314">
        <v>2756464478</v>
      </c>
      <c r="DB20" s="314">
        <v>0</v>
      </c>
      <c r="DC20" s="314">
        <v>0</v>
      </c>
      <c r="DD20" s="314">
        <v>0</v>
      </c>
      <c r="DE20" s="314">
        <v>2756464478</v>
      </c>
      <c r="DF20" s="273"/>
      <c r="DG20" s="273"/>
      <c r="DH20" s="273">
        <v>2756464478</v>
      </c>
    </row>
    <row r="21" spans="1:112" s="296" customFormat="1" ht="15.5">
      <c r="A21" s="296" t="s">
        <v>412</v>
      </c>
      <c r="B21" s="316">
        <v>84816242627</v>
      </c>
      <c r="C21" s="316">
        <v>10096362694</v>
      </c>
      <c r="D21" s="316">
        <v>8573031158</v>
      </c>
      <c r="E21" s="316">
        <v>1740950327</v>
      </c>
      <c r="F21" s="316">
        <v>74699879933</v>
      </c>
      <c r="G21" s="316">
        <v>7476076683</v>
      </c>
      <c r="H21" s="316">
        <v>67223803250</v>
      </c>
      <c r="I21" s="316">
        <v>0</v>
      </c>
      <c r="J21" s="316"/>
      <c r="K21" s="316">
        <v>0</v>
      </c>
      <c r="L21" s="316">
        <v>20000000</v>
      </c>
      <c r="M21" s="316">
        <v>0</v>
      </c>
      <c r="N21" s="316">
        <v>20000000</v>
      </c>
      <c r="O21" s="313">
        <v>0</v>
      </c>
      <c r="P21" s="314">
        <v>0</v>
      </c>
      <c r="Q21" s="314">
        <v>0</v>
      </c>
      <c r="R21" s="314"/>
      <c r="S21" s="314">
        <v>0</v>
      </c>
      <c r="T21" s="314">
        <v>0</v>
      </c>
      <c r="U21" s="314"/>
      <c r="V21" s="314">
        <v>84816242627</v>
      </c>
      <c r="W21" s="314">
        <v>78766092027</v>
      </c>
      <c r="X21" s="314">
        <v>9123472526</v>
      </c>
      <c r="Y21" s="314">
        <v>7738625675</v>
      </c>
      <c r="Z21" s="314">
        <v>1384846851</v>
      </c>
      <c r="AA21" s="314">
        <v>69635391319</v>
      </c>
      <c r="AB21" s="314">
        <v>6911515363</v>
      </c>
      <c r="AC21" s="314">
        <v>62723875956</v>
      </c>
      <c r="AD21" s="314">
        <v>0</v>
      </c>
      <c r="AE21" s="314"/>
      <c r="AF21" s="314">
        <v>0</v>
      </c>
      <c r="AG21" s="314">
        <v>7228182</v>
      </c>
      <c r="AH21" s="313">
        <v>0</v>
      </c>
      <c r="AI21" s="313">
        <v>7228182</v>
      </c>
      <c r="AJ21" s="315">
        <v>0</v>
      </c>
      <c r="AK21" s="314">
        <v>6050150600</v>
      </c>
      <c r="AL21" s="314">
        <v>972890168</v>
      </c>
      <c r="AM21" s="314">
        <v>5064488614</v>
      </c>
      <c r="AN21" s="314">
        <v>0</v>
      </c>
      <c r="AO21" s="314">
        <v>12771818</v>
      </c>
      <c r="AP21" s="313">
        <v>0</v>
      </c>
      <c r="AQ21" s="313">
        <v>20000000</v>
      </c>
      <c r="AR21" s="313">
        <v>-7228182</v>
      </c>
      <c r="AS21" s="314">
        <v>0</v>
      </c>
      <c r="AT21" s="314">
        <v>564501666</v>
      </c>
      <c r="AU21" s="314">
        <v>1900000</v>
      </c>
      <c r="AV21" s="314">
        <v>562601666</v>
      </c>
      <c r="AW21" s="313">
        <v>562601666</v>
      </c>
      <c r="AX21" s="313">
        <v>0</v>
      </c>
      <c r="AY21" s="313">
        <v>0</v>
      </c>
      <c r="AZ21" s="313">
        <v>0</v>
      </c>
      <c r="BA21" s="313">
        <v>0</v>
      </c>
      <c r="BB21" s="313">
        <v>0</v>
      </c>
      <c r="BC21" s="314">
        <v>0</v>
      </c>
      <c r="BD21" s="313"/>
      <c r="BE21" s="313"/>
      <c r="BF21" s="313"/>
      <c r="BG21" s="313">
        <v>0</v>
      </c>
      <c r="BH21" s="314">
        <v>0</v>
      </c>
      <c r="BI21" s="314">
        <v>0</v>
      </c>
      <c r="BJ21" s="313"/>
      <c r="BK21" s="313"/>
      <c r="BL21" s="313"/>
      <c r="BM21" s="313"/>
      <c r="BN21" s="314">
        <v>0</v>
      </c>
      <c r="BO21" s="313"/>
      <c r="BP21" s="313"/>
      <c r="BQ21" s="313"/>
      <c r="BR21" s="313"/>
      <c r="BS21" s="313"/>
      <c r="BT21" s="313"/>
      <c r="BU21" s="313"/>
      <c r="BV21" s="313"/>
      <c r="BW21" s="313"/>
      <c r="BX21" s="314">
        <v>0</v>
      </c>
      <c r="BY21" s="314">
        <v>0</v>
      </c>
      <c r="BZ21" s="314">
        <v>1347582139</v>
      </c>
      <c r="CA21" s="314">
        <v>699686400</v>
      </c>
      <c r="CB21" s="314">
        <v>117777777</v>
      </c>
      <c r="CC21" s="314">
        <v>4458919</v>
      </c>
      <c r="CD21" s="314">
        <v>24705214</v>
      </c>
      <c r="CE21" s="314">
        <v>2500000</v>
      </c>
      <c r="CF21" s="314">
        <v>1851852</v>
      </c>
      <c r="CG21" s="314">
        <v>3000000</v>
      </c>
      <c r="CH21" s="314">
        <v>180000</v>
      </c>
      <c r="CI21" s="314">
        <v>10056181</v>
      </c>
      <c r="CJ21" s="314">
        <v>6040000</v>
      </c>
      <c r="CK21" s="314">
        <v>173439630</v>
      </c>
      <c r="CL21" s="314">
        <v>3200000</v>
      </c>
      <c r="CM21" s="314">
        <v>0</v>
      </c>
      <c r="CN21" s="314">
        <v>32769500</v>
      </c>
      <c r="CO21" s="314">
        <v>0</v>
      </c>
      <c r="CP21" s="314">
        <v>6000000</v>
      </c>
      <c r="CQ21" s="314">
        <v>15500000</v>
      </c>
      <c r="CR21" s="314">
        <v>97000000</v>
      </c>
      <c r="CS21" s="314">
        <v>0</v>
      </c>
      <c r="CT21" s="314">
        <v>10000000</v>
      </c>
      <c r="CU21" s="314">
        <v>115416666</v>
      </c>
      <c r="CV21" s="314">
        <v>14000000</v>
      </c>
      <c r="CW21" s="314">
        <v>10000000</v>
      </c>
      <c r="CX21" s="314">
        <v>0</v>
      </c>
      <c r="CY21" s="314">
        <v>0</v>
      </c>
      <c r="CZ21" s="314">
        <v>0</v>
      </c>
      <c r="DA21" s="314">
        <v>5267070127</v>
      </c>
      <c r="DB21" s="314">
        <v>0</v>
      </c>
      <c r="DC21" s="314">
        <v>0</v>
      </c>
      <c r="DD21" s="314">
        <v>0</v>
      </c>
      <c r="DE21" s="314">
        <v>5267070127</v>
      </c>
      <c r="DF21" s="273"/>
      <c r="DG21" s="273"/>
      <c r="DH21" s="273">
        <v>5267070127</v>
      </c>
    </row>
    <row r="22" spans="1:112" s="296" customFormat="1" ht="15.5">
      <c r="A22" s="296" t="s">
        <v>413</v>
      </c>
      <c r="B22" s="316">
        <v>72959961527</v>
      </c>
      <c r="C22" s="316">
        <v>9748914264</v>
      </c>
      <c r="D22" s="316">
        <v>8007963937</v>
      </c>
      <c r="E22" s="316">
        <v>0</v>
      </c>
      <c r="F22" s="316">
        <v>63101560867</v>
      </c>
      <c r="G22" s="316">
        <v>5212793229</v>
      </c>
      <c r="H22" s="316">
        <v>57888767638</v>
      </c>
      <c r="I22" s="316">
        <v>0</v>
      </c>
      <c r="J22" s="316"/>
      <c r="K22" s="316">
        <v>0</v>
      </c>
      <c r="L22" s="316">
        <v>109486396</v>
      </c>
      <c r="M22" s="316">
        <v>0</v>
      </c>
      <c r="N22" s="316">
        <v>20000000</v>
      </c>
      <c r="O22" s="313">
        <v>89486396</v>
      </c>
      <c r="P22" s="314">
        <v>0</v>
      </c>
      <c r="Q22" s="314">
        <v>0</v>
      </c>
      <c r="R22" s="314"/>
      <c r="S22" s="314">
        <v>0</v>
      </c>
      <c r="T22" s="314">
        <v>0</v>
      </c>
      <c r="U22" s="314"/>
      <c r="V22" s="314">
        <v>72959961527</v>
      </c>
      <c r="W22" s="314">
        <v>67791910047</v>
      </c>
      <c r="X22" s="314">
        <v>8816783484</v>
      </c>
      <c r="Y22" s="314">
        <v>7234101369</v>
      </c>
      <c r="Z22" s="314">
        <v>1582682115</v>
      </c>
      <c r="AA22" s="314">
        <v>58967898381</v>
      </c>
      <c r="AB22" s="314">
        <v>4819057676</v>
      </c>
      <c r="AC22" s="314">
        <v>54148840705</v>
      </c>
      <c r="AD22" s="314">
        <v>0</v>
      </c>
      <c r="AE22" s="314"/>
      <c r="AF22" s="314">
        <v>0</v>
      </c>
      <c r="AG22" s="314">
        <v>7228182</v>
      </c>
      <c r="AH22" s="313">
        <v>0</v>
      </c>
      <c r="AI22" s="313">
        <v>7228182</v>
      </c>
      <c r="AJ22" s="315">
        <v>0</v>
      </c>
      <c r="AK22" s="314">
        <v>5168051480</v>
      </c>
      <c r="AL22" s="314">
        <v>932130780</v>
      </c>
      <c r="AM22" s="314">
        <v>4133662486</v>
      </c>
      <c r="AN22" s="314">
        <v>0</v>
      </c>
      <c r="AO22" s="314">
        <v>102258214</v>
      </c>
      <c r="AP22" s="313">
        <v>0</v>
      </c>
      <c r="AQ22" s="313">
        <v>20000000</v>
      </c>
      <c r="AR22" s="313">
        <v>82258214</v>
      </c>
      <c r="AS22" s="314">
        <v>0</v>
      </c>
      <c r="AT22" s="314">
        <v>7847517833</v>
      </c>
      <c r="AU22" s="314">
        <v>1414465479</v>
      </c>
      <c r="AV22" s="314">
        <v>6433052354</v>
      </c>
      <c r="AW22" s="313">
        <v>562601666</v>
      </c>
      <c r="AX22" s="313">
        <v>330254444</v>
      </c>
      <c r="AY22" s="313">
        <v>3539188889</v>
      </c>
      <c r="AZ22" s="313">
        <v>97118466</v>
      </c>
      <c r="BA22" s="313">
        <v>25555556</v>
      </c>
      <c r="BB22" s="313">
        <v>1878333333</v>
      </c>
      <c r="BC22" s="314">
        <v>0</v>
      </c>
      <c r="BD22" s="313"/>
      <c r="BE22" s="313"/>
      <c r="BF22" s="313"/>
      <c r="BG22" s="313">
        <v>0</v>
      </c>
      <c r="BH22" s="314">
        <v>359338153</v>
      </c>
      <c r="BI22" s="314">
        <v>0</v>
      </c>
      <c r="BJ22" s="313"/>
      <c r="BK22" s="313"/>
      <c r="BL22" s="313"/>
      <c r="BM22" s="313"/>
      <c r="BN22" s="314">
        <v>359338153</v>
      </c>
      <c r="BO22" s="313">
        <v>234033318</v>
      </c>
      <c r="BP22" s="313">
        <v>-1510116361</v>
      </c>
      <c r="BQ22" s="313">
        <v>1635421196</v>
      </c>
      <c r="BR22" s="313"/>
      <c r="BS22" s="313"/>
      <c r="BT22" s="313"/>
      <c r="BU22" s="313"/>
      <c r="BV22" s="313"/>
      <c r="BW22" s="313"/>
      <c r="BX22" s="314">
        <v>0</v>
      </c>
      <c r="BY22" s="314">
        <v>0</v>
      </c>
      <c r="BZ22" s="314">
        <v>1627122139</v>
      </c>
      <c r="CA22" s="314">
        <v>732686400</v>
      </c>
      <c r="CB22" s="314">
        <v>113777777</v>
      </c>
      <c r="CC22" s="314">
        <v>4458919</v>
      </c>
      <c r="CD22" s="314">
        <v>24705214</v>
      </c>
      <c r="CE22" s="314">
        <v>2500000</v>
      </c>
      <c r="CF22" s="314">
        <v>1851852</v>
      </c>
      <c r="CG22" s="314">
        <v>1500000</v>
      </c>
      <c r="CH22" s="314">
        <v>180000</v>
      </c>
      <c r="CI22" s="314">
        <v>20596181</v>
      </c>
      <c r="CJ22" s="314">
        <v>5540000</v>
      </c>
      <c r="CK22" s="314">
        <v>173439630</v>
      </c>
      <c r="CL22" s="314">
        <v>3200000</v>
      </c>
      <c r="CM22" s="314">
        <v>0</v>
      </c>
      <c r="CN22" s="314">
        <v>29769500</v>
      </c>
      <c r="CO22" s="314">
        <v>0</v>
      </c>
      <c r="CP22" s="314">
        <v>6000000</v>
      </c>
      <c r="CQ22" s="314">
        <v>15500000</v>
      </c>
      <c r="CR22" s="314">
        <v>142000000</v>
      </c>
      <c r="CS22" s="314">
        <v>0</v>
      </c>
      <c r="CT22" s="314">
        <v>10000000</v>
      </c>
      <c r="CU22" s="314">
        <v>115416666</v>
      </c>
      <c r="CV22" s="314">
        <v>14000000</v>
      </c>
      <c r="CW22" s="314">
        <v>210000000</v>
      </c>
      <c r="CX22" s="314">
        <v>0</v>
      </c>
      <c r="CY22" s="314">
        <v>0</v>
      </c>
      <c r="CZ22" s="314">
        <v>0</v>
      </c>
      <c r="DA22" s="314">
        <v>11029109021</v>
      </c>
      <c r="DB22" s="314">
        <v>0</v>
      </c>
      <c r="DC22" s="314">
        <v>0</v>
      </c>
      <c r="DD22" s="314">
        <v>0</v>
      </c>
      <c r="DE22" s="314">
        <v>11029109021</v>
      </c>
      <c r="DF22" s="273"/>
      <c r="DG22" s="273"/>
      <c r="DH22" s="273">
        <v>11029109021</v>
      </c>
    </row>
    <row r="23" spans="1:112" s="296" customFormat="1" ht="15.5">
      <c r="A23" s="296" t="s">
        <v>414</v>
      </c>
      <c r="B23" s="312">
        <v>12101915370</v>
      </c>
      <c r="C23" s="312">
        <v>8007963937</v>
      </c>
      <c r="D23" s="316">
        <v>8007963937</v>
      </c>
      <c r="E23" s="316">
        <v>0</v>
      </c>
      <c r="F23" s="312">
        <v>4083951433</v>
      </c>
      <c r="G23" s="312">
        <v>4083951433</v>
      </c>
      <c r="H23" s="312">
        <v>0</v>
      </c>
      <c r="I23" s="312">
        <v>0</v>
      </c>
      <c r="J23" s="316"/>
      <c r="K23" s="316">
        <v>0</v>
      </c>
      <c r="L23" s="312">
        <v>10000000</v>
      </c>
      <c r="M23" s="316">
        <v>0</v>
      </c>
      <c r="N23" s="316">
        <v>10000000</v>
      </c>
      <c r="O23" s="316">
        <v>0</v>
      </c>
      <c r="P23" s="312">
        <v>0</v>
      </c>
      <c r="Q23" s="317">
        <v>0</v>
      </c>
      <c r="R23" s="317"/>
      <c r="S23" s="317">
        <v>0</v>
      </c>
      <c r="T23" s="317">
        <v>0</v>
      </c>
      <c r="U23" s="317"/>
      <c r="V23" s="317">
        <v>12101915370</v>
      </c>
      <c r="W23" s="317">
        <v>11016993095</v>
      </c>
      <c r="X23" s="317">
        <v>7234101369</v>
      </c>
      <c r="Y23" s="317">
        <v>7234101369</v>
      </c>
      <c r="Z23" s="317">
        <v>0</v>
      </c>
      <c r="AA23" s="317">
        <v>3775663544</v>
      </c>
      <c r="AB23" s="317">
        <v>3775663544</v>
      </c>
      <c r="AC23" s="317">
        <v>0</v>
      </c>
      <c r="AD23" s="317">
        <v>0</v>
      </c>
      <c r="AE23" s="317"/>
      <c r="AF23" s="317">
        <v>0</v>
      </c>
      <c r="AG23" s="312">
        <v>7228182</v>
      </c>
      <c r="AH23" s="318">
        <v>0</v>
      </c>
      <c r="AI23" s="316">
        <v>7228182</v>
      </c>
      <c r="AJ23" s="319">
        <v>0</v>
      </c>
      <c r="AK23" s="317">
        <v>1084922275</v>
      </c>
      <c r="AL23" s="312">
        <v>773862568</v>
      </c>
      <c r="AM23" s="312">
        <v>308287889</v>
      </c>
      <c r="AN23" s="312">
        <v>0</v>
      </c>
      <c r="AO23" s="312">
        <v>2771818</v>
      </c>
      <c r="AP23" s="316">
        <v>0</v>
      </c>
      <c r="AQ23" s="316">
        <v>10000000</v>
      </c>
      <c r="AR23" s="316">
        <v>-7228182</v>
      </c>
      <c r="AS23" s="312">
        <v>0</v>
      </c>
      <c r="AT23" s="312">
        <v>340583255055</v>
      </c>
      <c r="AU23" s="317">
        <v>1900000</v>
      </c>
      <c r="AV23" s="317">
        <v>581355055</v>
      </c>
      <c r="AW23" s="318">
        <v>581355055</v>
      </c>
      <c r="AX23" s="318">
        <v>0</v>
      </c>
      <c r="AY23" s="318">
        <v>0</v>
      </c>
      <c r="AZ23" s="318">
        <v>0</v>
      </c>
      <c r="BA23" s="318">
        <v>0</v>
      </c>
      <c r="BB23" s="318">
        <v>0</v>
      </c>
      <c r="BC23" s="317">
        <v>0</v>
      </c>
      <c r="BD23" s="318"/>
      <c r="BE23" s="318"/>
      <c r="BF23" s="318"/>
      <c r="BG23" s="318">
        <v>340000000000</v>
      </c>
      <c r="BH23" s="312">
        <v>0</v>
      </c>
      <c r="BI23" s="317">
        <v>0</v>
      </c>
      <c r="BJ23" s="318"/>
      <c r="BK23" s="318"/>
      <c r="BL23" s="318"/>
      <c r="BM23" s="317"/>
      <c r="BN23" s="317">
        <v>0</v>
      </c>
      <c r="BO23" s="318"/>
      <c r="BP23" s="318"/>
      <c r="BQ23" s="318"/>
      <c r="BR23" s="318"/>
      <c r="BS23" s="318"/>
      <c r="BT23" s="318"/>
      <c r="BU23" s="318"/>
      <c r="BV23" s="318"/>
      <c r="BW23" s="318"/>
      <c r="BX23" s="317">
        <v>0</v>
      </c>
      <c r="BY23" s="317">
        <v>0</v>
      </c>
      <c r="BZ23" s="317">
        <v>1462165472</v>
      </c>
      <c r="CA23" s="317">
        <v>706986400</v>
      </c>
      <c r="CB23" s="317">
        <v>114777777</v>
      </c>
      <c r="CC23" s="317">
        <v>4458919</v>
      </c>
      <c r="CD23" s="317">
        <v>24705214</v>
      </c>
      <c r="CE23" s="317">
        <v>2500000</v>
      </c>
      <c r="CF23" s="317">
        <v>1851852</v>
      </c>
      <c r="CG23" s="317">
        <v>16200000</v>
      </c>
      <c r="CH23" s="317">
        <v>180000</v>
      </c>
      <c r="CI23" s="317">
        <v>8639514</v>
      </c>
      <c r="CJ23" s="317">
        <v>5540000</v>
      </c>
      <c r="CK23" s="317">
        <v>173439630</v>
      </c>
      <c r="CL23" s="317">
        <v>3200000</v>
      </c>
      <c r="CM23" s="317">
        <v>0</v>
      </c>
      <c r="CN23" s="317">
        <v>31769500</v>
      </c>
      <c r="CO23" s="317">
        <v>0</v>
      </c>
      <c r="CP23" s="317">
        <v>6000000</v>
      </c>
      <c r="CQ23" s="317">
        <v>15500000</v>
      </c>
      <c r="CR23" s="317">
        <v>202000000</v>
      </c>
      <c r="CS23" s="317">
        <v>0</v>
      </c>
      <c r="CT23" s="317">
        <v>0</v>
      </c>
      <c r="CU23" s="317">
        <v>120416666</v>
      </c>
      <c r="CV23" s="317">
        <v>14000000</v>
      </c>
      <c r="CW23" s="317">
        <v>10000000</v>
      </c>
      <c r="CX23" s="317">
        <v>0</v>
      </c>
      <c r="CY23" s="317">
        <v>0</v>
      </c>
      <c r="CZ23" s="317">
        <v>0</v>
      </c>
      <c r="DA23" s="317">
        <v>340206011858</v>
      </c>
      <c r="DB23" s="317">
        <v>0</v>
      </c>
      <c r="DC23" s="317">
        <v>0</v>
      </c>
      <c r="DD23" s="317">
        <v>0</v>
      </c>
      <c r="DE23" s="317">
        <v>340206011858</v>
      </c>
      <c r="DF23" s="298"/>
      <c r="DG23" s="298"/>
      <c r="DH23" s="307">
        <v>340206011858</v>
      </c>
    </row>
    <row r="24" spans="1:112" s="296" customFormat="1" ht="15.5">
      <c r="A24" s="296" t="s">
        <v>415</v>
      </c>
      <c r="B24" s="316">
        <v>8966700330</v>
      </c>
      <c r="C24" s="316">
        <v>6123837539</v>
      </c>
      <c r="D24" s="316">
        <v>6123837539</v>
      </c>
      <c r="E24" s="316">
        <v>0</v>
      </c>
      <c r="F24" s="316">
        <v>2832862791</v>
      </c>
      <c r="G24" s="316">
        <v>2832862791</v>
      </c>
      <c r="H24" s="316">
        <v>0</v>
      </c>
      <c r="I24" s="316">
        <v>0</v>
      </c>
      <c r="J24" s="316"/>
      <c r="K24" s="316">
        <v>0</v>
      </c>
      <c r="L24" s="316">
        <v>10000000</v>
      </c>
      <c r="M24" s="316">
        <v>0</v>
      </c>
      <c r="N24" s="316">
        <v>10000000</v>
      </c>
      <c r="O24" s="313">
        <v>0</v>
      </c>
      <c r="P24" s="314">
        <v>0</v>
      </c>
      <c r="Q24" s="314">
        <v>0</v>
      </c>
      <c r="R24" s="314"/>
      <c r="S24" s="314">
        <v>0</v>
      </c>
      <c r="T24" s="314">
        <v>0</v>
      </c>
      <c r="U24" s="314"/>
      <c r="V24" s="314">
        <v>8966700330</v>
      </c>
      <c r="W24" s="314">
        <v>8161586611</v>
      </c>
      <c r="X24" s="314">
        <v>5535018942</v>
      </c>
      <c r="Y24" s="314">
        <v>5535018942</v>
      </c>
      <c r="Z24" s="314">
        <v>0</v>
      </c>
      <c r="AA24" s="314">
        <v>2619339487</v>
      </c>
      <c r="AB24" s="314">
        <v>2619339487</v>
      </c>
      <c r="AC24" s="314">
        <v>0</v>
      </c>
      <c r="AD24" s="314">
        <v>0</v>
      </c>
      <c r="AE24" s="314"/>
      <c r="AF24" s="314">
        <v>0</v>
      </c>
      <c r="AG24" s="314">
        <v>7228182</v>
      </c>
      <c r="AH24" s="313">
        <v>0</v>
      </c>
      <c r="AI24" s="313">
        <v>7228182</v>
      </c>
      <c r="AJ24" s="315">
        <v>0</v>
      </c>
      <c r="AK24" s="314">
        <v>805113719</v>
      </c>
      <c r="AL24" s="314">
        <v>588818597</v>
      </c>
      <c r="AM24" s="314">
        <v>213523304</v>
      </c>
      <c r="AN24" s="314">
        <v>0</v>
      </c>
      <c r="AO24" s="314">
        <v>2771818</v>
      </c>
      <c r="AP24" s="313">
        <v>0</v>
      </c>
      <c r="AQ24" s="313">
        <v>10000000</v>
      </c>
      <c r="AR24" s="313">
        <v>-7228182</v>
      </c>
      <c r="AS24" s="314">
        <v>0</v>
      </c>
      <c r="AT24" s="314">
        <v>564501666</v>
      </c>
      <c r="AU24" s="314">
        <v>1900000</v>
      </c>
      <c r="AV24" s="314">
        <v>562601666</v>
      </c>
      <c r="AW24" s="313">
        <v>562601666</v>
      </c>
      <c r="AX24" s="313">
        <v>0</v>
      </c>
      <c r="AY24" s="313">
        <v>0</v>
      </c>
      <c r="AZ24" s="313">
        <v>0</v>
      </c>
      <c r="BA24" s="313">
        <v>0</v>
      </c>
      <c r="BB24" s="313">
        <v>0</v>
      </c>
      <c r="BC24" s="314">
        <v>0</v>
      </c>
      <c r="BD24" s="313"/>
      <c r="BE24" s="313"/>
      <c r="BF24" s="313"/>
      <c r="BG24" s="313">
        <v>0</v>
      </c>
      <c r="BH24" s="314">
        <v>0</v>
      </c>
      <c r="BI24" s="314">
        <v>0</v>
      </c>
      <c r="BJ24" s="313"/>
      <c r="BK24" s="313"/>
      <c r="BL24" s="313"/>
      <c r="BM24" s="313"/>
      <c r="BN24" s="314">
        <v>0</v>
      </c>
      <c r="BO24" s="313"/>
      <c r="BP24" s="313"/>
      <c r="BQ24" s="313"/>
      <c r="BR24" s="313"/>
      <c r="BS24" s="313"/>
      <c r="BT24" s="313"/>
      <c r="BU24" s="313"/>
      <c r="BV24" s="313"/>
      <c r="BW24" s="313"/>
      <c r="BX24" s="314">
        <v>0</v>
      </c>
      <c r="BY24" s="314">
        <v>0</v>
      </c>
      <c r="BZ24" s="314">
        <v>4434880472</v>
      </c>
      <c r="CA24" s="314">
        <v>699186400</v>
      </c>
      <c r="CB24" s="314">
        <v>113777777</v>
      </c>
      <c r="CC24" s="314">
        <v>4458919</v>
      </c>
      <c r="CD24" s="314">
        <v>24705214</v>
      </c>
      <c r="CE24" s="314">
        <v>2500000</v>
      </c>
      <c r="CF24" s="314">
        <v>1851852</v>
      </c>
      <c r="CG24" s="314">
        <v>2000000</v>
      </c>
      <c r="CH24" s="314">
        <v>180000</v>
      </c>
      <c r="CI24" s="314">
        <v>8639514</v>
      </c>
      <c r="CJ24" s="314">
        <v>5540000</v>
      </c>
      <c r="CK24" s="314">
        <v>173439630</v>
      </c>
      <c r="CL24" s="314">
        <v>3200000</v>
      </c>
      <c r="CM24" s="314">
        <v>85215000</v>
      </c>
      <c r="CN24" s="314">
        <v>35269500</v>
      </c>
      <c r="CO24" s="314">
        <v>0</v>
      </c>
      <c r="CP24" s="314">
        <v>6000000</v>
      </c>
      <c r="CQ24" s="314">
        <v>15500000</v>
      </c>
      <c r="CR24" s="314">
        <v>97000000</v>
      </c>
      <c r="CS24" s="314">
        <v>0</v>
      </c>
      <c r="CT24" s="314">
        <v>14000000</v>
      </c>
      <c r="CU24" s="314">
        <v>3118416666</v>
      </c>
      <c r="CV24" s="314">
        <v>14000000</v>
      </c>
      <c r="CW24" s="314">
        <v>10000000</v>
      </c>
      <c r="CX24" s="314">
        <v>0</v>
      </c>
      <c r="CY24" s="314">
        <v>0</v>
      </c>
      <c r="CZ24" s="314">
        <v>0</v>
      </c>
      <c r="DA24" s="314">
        <v>-3065265087</v>
      </c>
      <c r="DB24" s="314">
        <v>0</v>
      </c>
      <c r="DC24" s="314">
        <v>0</v>
      </c>
      <c r="DD24" s="314">
        <v>0</v>
      </c>
      <c r="DE24" s="314">
        <v>-3065265087</v>
      </c>
      <c r="DF24" s="273"/>
      <c r="DG24" s="273"/>
      <c r="DH24" s="273">
        <v>-3065265087</v>
      </c>
    </row>
    <row r="25" spans="1:112" s="296" customFormat="1" ht="15.5">
      <c r="A25" s="296" t="s">
        <v>416</v>
      </c>
      <c r="B25" s="316">
        <v>12197004342</v>
      </c>
      <c r="C25" s="316">
        <v>9609556723</v>
      </c>
      <c r="D25" s="316">
        <v>9609556723</v>
      </c>
      <c r="E25" s="316">
        <v>0</v>
      </c>
      <c r="F25" s="316">
        <v>2481035063</v>
      </c>
      <c r="G25" s="316">
        <v>2481035063</v>
      </c>
      <c r="H25" s="316">
        <v>0</v>
      </c>
      <c r="I25" s="316">
        <v>0</v>
      </c>
      <c r="J25" s="316"/>
      <c r="K25" s="316">
        <v>0</v>
      </c>
      <c r="L25" s="316">
        <v>106412556</v>
      </c>
      <c r="M25" s="316">
        <v>0</v>
      </c>
      <c r="N25" s="316">
        <v>10000000</v>
      </c>
      <c r="O25" s="313">
        <v>96412556</v>
      </c>
      <c r="P25" s="314">
        <v>0</v>
      </c>
      <c r="Q25" s="314">
        <v>0</v>
      </c>
      <c r="R25" s="314"/>
      <c r="S25" s="314">
        <v>0</v>
      </c>
      <c r="T25" s="314">
        <v>0</v>
      </c>
      <c r="U25" s="314"/>
      <c r="V25" s="314">
        <v>12197004342</v>
      </c>
      <c r="W25" s="314">
        <v>10983417799</v>
      </c>
      <c r="X25" s="314">
        <v>8680921643</v>
      </c>
      <c r="Y25" s="314">
        <v>8680921643</v>
      </c>
      <c r="Z25" s="314">
        <v>0</v>
      </c>
      <c r="AA25" s="314">
        <v>2295267974</v>
      </c>
      <c r="AB25" s="314">
        <v>2295267974</v>
      </c>
      <c r="AC25" s="314">
        <v>0</v>
      </c>
      <c r="AD25" s="314">
        <v>0</v>
      </c>
      <c r="AE25" s="314"/>
      <c r="AF25" s="314">
        <v>0</v>
      </c>
      <c r="AG25" s="314">
        <v>7228182</v>
      </c>
      <c r="AH25" s="313">
        <v>0</v>
      </c>
      <c r="AI25" s="313">
        <v>7228182</v>
      </c>
      <c r="AJ25" s="315">
        <v>0</v>
      </c>
      <c r="AK25" s="314">
        <v>1213586543</v>
      </c>
      <c r="AL25" s="314">
        <v>928635080</v>
      </c>
      <c r="AM25" s="314">
        <v>185767089</v>
      </c>
      <c r="AN25" s="314">
        <v>0</v>
      </c>
      <c r="AO25" s="314">
        <v>99184374</v>
      </c>
      <c r="AP25" s="313">
        <v>0</v>
      </c>
      <c r="AQ25" s="313">
        <v>10000000</v>
      </c>
      <c r="AR25" s="313">
        <v>89184374</v>
      </c>
      <c r="AS25" s="314">
        <v>0</v>
      </c>
      <c r="AT25" s="314">
        <v>7845004555</v>
      </c>
      <c r="AU25" s="314">
        <v>1414465479</v>
      </c>
      <c r="AV25" s="314">
        <v>6430539076</v>
      </c>
      <c r="AW25" s="313">
        <v>581355055</v>
      </c>
      <c r="AX25" s="313">
        <v>330254444</v>
      </c>
      <c r="AY25" s="313">
        <v>3517922222</v>
      </c>
      <c r="AZ25" s="313">
        <v>97118466</v>
      </c>
      <c r="BA25" s="313">
        <v>25555556</v>
      </c>
      <c r="BB25" s="313">
        <v>1878333333</v>
      </c>
      <c r="BC25" s="314">
        <v>0</v>
      </c>
      <c r="BD25" s="313"/>
      <c r="BE25" s="313"/>
      <c r="BF25" s="313"/>
      <c r="BG25" s="313">
        <v>0</v>
      </c>
      <c r="BH25" s="314">
        <v>5076203097</v>
      </c>
      <c r="BI25" s="314">
        <v>0</v>
      </c>
      <c r="BJ25" s="313"/>
      <c r="BK25" s="313"/>
      <c r="BL25" s="313"/>
      <c r="BM25" s="313"/>
      <c r="BN25" s="314">
        <v>5076203097</v>
      </c>
      <c r="BO25" s="313">
        <v>3795887654</v>
      </c>
      <c r="BP25" s="313">
        <v>795282645</v>
      </c>
      <c r="BQ25" s="313">
        <v>485032798</v>
      </c>
      <c r="BR25" s="313"/>
      <c r="BS25" s="313"/>
      <c r="BT25" s="313"/>
      <c r="BU25" s="313"/>
      <c r="BV25" s="313"/>
      <c r="BW25" s="313"/>
      <c r="BX25" s="314">
        <v>0</v>
      </c>
      <c r="BY25" s="314">
        <v>0</v>
      </c>
      <c r="BZ25" s="314">
        <v>2499272472</v>
      </c>
      <c r="CA25" s="314">
        <v>1373043400</v>
      </c>
      <c r="CB25" s="314">
        <v>117777777</v>
      </c>
      <c r="CC25" s="314">
        <v>4458919</v>
      </c>
      <c r="CD25" s="314">
        <v>24705214</v>
      </c>
      <c r="CE25" s="314">
        <v>2500000</v>
      </c>
      <c r="CF25" s="314">
        <v>1851852</v>
      </c>
      <c r="CG25" s="314">
        <v>3000000</v>
      </c>
      <c r="CH25" s="314">
        <v>180000</v>
      </c>
      <c r="CI25" s="314">
        <v>8639514</v>
      </c>
      <c r="CJ25" s="314">
        <v>5540000</v>
      </c>
      <c r="CK25" s="314">
        <v>173439630</v>
      </c>
      <c r="CL25" s="314">
        <v>3200000</v>
      </c>
      <c r="CM25" s="314">
        <v>0</v>
      </c>
      <c r="CN25" s="314">
        <v>31769500</v>
      </c>
      <c r="CO25" s="314">
        <v>210000000</v>
      </c>
      <c r="CP25" s="314">
        <v>6000000</v>
      </c>
      <c r="CQ25" s="314">
        <v>15500000</v>
      </c>
      <c r="CR25" s="314">
        <v>247000000</v>
      </c>
      <c r="CS25" s="314">
        <v>0</v>
      </c>
      <c r="CT25" s="314">
        <v>0</v>
      </c>
      <c r="CU25" s="314">
        <v>46666666</v>
      </c>
      <c r="CV25" s="314">
        <v>14000000</v>
      </c>
      <c r="CW25" s="314">
        <v>210000000</v>
      </c>
      <c r="CX25" s="314">
        <v>0</v>
      </c>
      <c r="CY25" s="314">
        <v>0</v>
      </c>
      <c r="CZ25" s="314">
        <v>0</v>
      </c>
      <c r="DA25" s="314">
        <v>1483115529</v>
      </c>
      <c r="DB25" s="314">
        <v>0</v>
      </c>
      <c r="DC25" s="314">
        <v>0</v>
      </c>
      <c r="DD25" s="314">
        <v>0</v>
      </c>
      <c r="DE25" s="314">
        <v>1483115529</v>
      </c>
      <c r="DF25" s="273"/>
      <c r="DG25" s="273"/>
      <c r="DH25" s="273">
        <v>1483115529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DH37"/>
  <sheetViews>
    <sheetView zoomScale="70" zoomScaleNormal="70" workbookViewId="0">
      <pane xSplit="1" ySplit="1" topLeftCell="CX17" activePane="bottomRight" state="frozen"/>
      <selection pane="topRight" activeCell="B1" sqref="B1"/>
      <selection pane="bottomLeft" activeCell="A2" sqref="A2"/>
      <selection pane="bottomRight" activeCell="A13" sqref="A13:XFD25"/>
    </sheetView>
  </sheetViews>
  <sheetFormatPr defaultRowHeight="14.5"/>
  <cols>
    <col min="1" max="1" width="16.26953125" customWidth="1"/>
    <col min="2" max="2" width="17.36328125" bestFit="1" customWidth="1"/>
    <col min="3" max="3" width="13.81640625" customWidth="1"/>
    <col min="4" max="4" width="17.08984375" bestFit="1" customWidth="1"/>
    <col min="5" max="5" width="13" customWidth="1"/>
    <col min="6" max="6" width="18.26953125" bestFit="1" customWidth="1"/>
    <col min="7" max="7" width="17.08984375" bestFit="1" customWidth="1"/>
    <col min="8" max="8" width="14.453125" customWidth="1"/>
    <col min="9" max="9" width="13.7265625" customWidth="1"/>
    <col min="10" max="10" width="14.1796875" bestFit="1" customWidth="1"/>
    <col min="11" max="11" width="13.7265625" customWidth="1"/>
    <col min="12" max="12" width="15.54296875" bestFit="1" customWidth="1"/>
    <col min="13" max="13" width="9.08984375" bestFit="1" customWidth="1"/>
    <col min="14" max="14" width="14.54296875" bestFit="1" customWidth="1"/>
    <col min="15" max="15" width="14.26953125" customWidth="1"/>
    <col min="16" max="16" width="13.6328125" bestFit="1" customWidth="1"/>
    <col min="17" max="17" width="12.54296875" hidden="1" customWidth="1"/>
    <col min="18" max="18" width="7.453125" hidden="1" customWidth="1"/>
    <col min="19" max="19" width="11" hidden="1" customWidth="1"/>
    <col min="20" max="20" width="12.54296875" hidden="1" customWidth="1"/>
    <col min="21" max="21" width="10.81640625" hidden="1" customWidth="1"/>
    <col min="22" max="22" width="14.81640625" hidden="1" customWidth="1"/>
    <col min="23" max="23" width="17.81640625" hidden="1" customWidth="1"/>
    <col min="24" max="26" width="16.7265625" hidden="1" customWidth="1"/>
    <col min="27" max="27" width="17.81640625" hidden="1" customWidth="1"/>
    <col min="28" max="28" width="16.7265625" hidden="1" customWidth="1"/>
    <col min="29" max="29" width="17.81640625" hidden="1" customWidth="1"/>
    <col min="30" max="30" width="16.453125" hidden="1" customWidth="1"/>
    <col min="31" max="31" width="14" hidden="1" customWidth="1"/>
    <col min="32" max="32" width="16.453125" hidden="1" customWidth="1"/>
    <col min="33" max="33" width="12.81640625" hidden="1" customWidth="1"/>
    <col min="34" max="34" width="9" hidden="1" customWidth="1"/>
    <col min="35" max="35" width="13.453125" hidden="1" customWidth="1"/>
    <col min="36" max="36" width="13.54296875" hidden="1" customWidth="1"/>
    <col min="37" max="37" width="16.81640625" bestFit="1" customWidth="1"/>
    <col min="38" max="38" width="15.26953125" bestFit="1" customWidth="1"/>
    <col min="39" max="39" width="16.81640625" bestFit="1" customWidth="1"/>
    <col min="40" max="41" width="14.90625" bestFit="1" customWidth="1"/>
    <col min="42" max="42" width="9.54296875" bestFit="1" customWidth="1"/>
    <col min="43" max="44" width="14.54296875" bestFit="1" customWidth="1"/>
    <col min="45" max="45" width="11.54296875" bestFit="1" customWidth="1"/>
    <col min="46" max="48" width="16.54296875" bestFit="1" customWidth="1"/>
    <col min="49" max="50" width="15.54296875" bestFit="1" customWidth="1"/>
    <col min="51" max="51" width="17.08984375" bestFit="1" customWidth="1"/>
    <col min="52" max="52" width="14.6328125" bestFit="1" customWidth="1"/>
    <col min="53" max="54" width="12.1796875" style="249" customWidth="1"/>
    <col min="55" max="55" width="14.81640625" bestFit="1" customWidth="1"/>
    <col min="56" max="57" width="8.453125" bestFit="1" customWidth="1"/>
    <col min="58" max="58" width="13.81640625" bestFit="1" customWidth="1"/>
    <col min="59" max="59" width="17" bestFit="1" customWidth="1"/>
    <col min="60" max="60" width="16.54296875" bestFit="1" customWidth="1"/>
    <col min="61" max="61" width="14.81640625" bestFit="1" customWidth="1"/>
    <col min="62" max="62" width="12.1796875" bestFit="1" customWidth="1"/>
    <col min="63" max="63" width="11.1796875" bestFit="1" customWidth="1"/>
    <col min="64" max="64" width="8.453125" bestFit="1" customWidth="1"/>
    <col min="65" max="65" width="13.81640625" bestFit="1" customWidth="1"/>
    <col min="66" max="66" width="16.54296875" bestFit="1" customWidth="1"/>
    <col min="67" max="67" width="17.08984375" bestFit="1" customWidth="1"/>
    <col min="68" max="68" width="17.81640625" bestFit="1" customWidth="1"/>
    <col min="69" max="69" width="17.08984375" bestFit="1" customWidth="1"/>
    <col min="70" max="70" width="15.453125" bestFit="1" customWidth="1"/>
    <col min="71" max="71" width="12.81640625" bestFit="1" customWidth="1"/>
    <col min="72" max="72" width="14" bestFit="1" customWidth="1"/>
    <col min="73" max="73" width="16.54296875" bestFit="1" customWidth="1"/>
    <col min="74" max="74" width="8.1796875" bestFit="1" customWidth="1"/>
    <col min="75" max="75" width="7.54296875" bestFit="1" customWidth="1"/>
    <col min="76" max="76" width="15.81640625" bestFit="1" customWidth="1"/>
    <col min="77" max="77" width="14.26953125" bestFit="1" customWidth="1"/>
    <col min="78" max="78" width="16.81640625" bestFit="1" customWidth="1"/>
    <col min="79" max="79" width="16.54296875" bestFit="1" customWidth="1"/>
    <col min="80" max="80" width="15.26953125" bestFit="1" customWidth="1"/>
    <col min="81" max="82" width="14.26953125" bestFit="1" customWidth="1"/>
    <col min="83" max="84" width="13.08984375" bestFit="1" customWidth="1"/>
    <col min="85" max="85" width="13.90625" bestFit="1" customWidth="1"/>
    <col min="86" max="86" width="11.54296875" bestFit="1" customWidth="1"/>
    <col min="87" max="87" width="13.90625" bestFit="1" customWidth="1"/>
    <col min="88" max="88" width="13.08984375" bestFit="1" customWidth="1"/>
    <col min="89" max="89" width="15.26953125" bestFit="1" customWidth="1"/>
    <col min="90" max="90" width="13.08984375" bestFit="1" customWidth="1"/>
    <col min="91" max="91" width="13.90625" bestFit="1" customWidth="1"/>
    <col min="92" max="92" width="14.26953125" bestFit="1" customWidth="1"/>
    <col min="93" max="93" width="14.90625" bestFit="1" customWidth="1"/>
    <col min="94" max="95" width="14.26953125" bestFit="1" customWidth="1"/>
    <col min="96" max="96" width="15.26953125" bestFit="1" customWidth="1"/>
    <col min="97" max="97" width="14.90625" bestFit="1" customWidth="1"/>
    <col min="98" max="98" width="14.26953125" bestFit="1" customWidth="1"/>
    <col min="99" max="99" width="16.54296875" bestFit="1" customWidth="1"/>
    <col min="100" max="100" width="14.26953125" bestFit="1" customWidth="1"/>
    <col min="101" max="101" width="14.90625" bestFit="1" customWidth="1"/>
    <col min="102" max="102" width="13.08984375" bestFit="1" customWidth="1"/>
    <col min="103" max="103" width="16.54296875" bestFit="1" customWidth="1"/>
    <col min="104" max="104" width="12.08984375" bestFit="1" customWidth="1"/>
    <col min="105" max="105" width="17.6328125" bestFit="1" customWidth="1"/>
    <col min="106" max="106" width="16.81640625" bestFit="1" customWidth="1"/>
    <col min="107" max="107" width="15.36328125" bestFit="1" customWidth="1"/>
    <col min="108" max="108" width="16.81640625" bestFit="1" customWidth="1"/>
    <col min="109" max="109" width="17.6328125" bestFit="1" customWidth="1"/>
    <col min="111" max="111" width="8" bestFit="1" customWidth="1"/>
    <col min="112" max="112" width="17.6328125" bestFit="1" customWidth="1"/>
  </cols>
  <sheetData>
    <row r="1" spans="1:112" s="226" customFormat="1" ht="86.5" customHeight="1">
      <c r="A1" s="225" t="s">
        <v>304</v>
      </c>
      <c r="B1" s="225" t="s">
        <v>153</v>
      </c>
      <c r="C1" s="225" t="s">
        <v>154</v>
      </c>
      <c r="D1" s="225" t="s">
        <v>272</v>
      </c>
      <c r="E1" s="225" t="s">
        <v>273</v>
      </c>
      <c r="F1" s="225" t="s">
        <v>155</v>
      </c>
      <c r="G1" s="225" t="s">
        <v>274</v>
      </c>
      <c r="H1" s="225" t="s">
        <v>275</v>
      </c>
      <c r="I1" s="225" t="s">
        <v>156</v>
      </c>
      <c r="J1" s="225" t="s">
        <v>157</v>
      </c>
      <c r="K1" s="225" t="s">
        <v>158</v>
      </c>
      <c r="L1" s="225" t="s">
        <v>159</v>
      </c>
      <c r="M1" s="225" t="s">
        <v>160</v>
      </c>
      <c r="N1" s="225" t="s">
        <v>161</v>
      </c>
      <c r="O1" s="225" t="s">
        <v>162</v>
      </c>
      <c r="P1" s="225" t="s">
        <v>163</v>
      </c>
      <c r="Q1" s="225" t="s">
        <v>164</v>
      </c>
      <c r="R1" s="225" t="s">
        <v>165</v>
      </c>
      <c r="S1" s="225" t="s">
        <v>166</v>
      </c>
      <c r="T1" s="225" t="s">
        <v>167</v>
      </c>
      <c r="U1" s="225" t="s">
        <v>168</v>
      </c>
      <c r="V1" s="225" t="s">
        <v>169</v>
      </c>
      <c r="W1" s="225" t="s">
        <v>170</v>
      </c>
      <c r="X1" s="225" t="s">
        <v>171</v>
      </c>
      <c r="Y1" s="225" t="s">
        <v>276</v>
      </c>
      <c r="Z1" s="225" t="s">
        <v>277</v>
      </c>
      <c r="AA1" s="225" t="s">
        <v>172</v>
      </c>
      <c r="AB1" s="225" t="s">
        <v>278</v>
      </c>
      <c r="AC1" s="225" t="s">
        <v>279</v>
      </c>
      <c r="AD1" s="225" t="s">
        <v>173</v>
      </c>
      <c r="AE1" s="225" t="s">
        <v>174</v>
      </c>
      <c r="AF1" s="225" t="s">
        <v>175</v>
      </c>
      <c r="AG1" s="225" t="s">
        <v>176</v>
      </c>
      <c r="AH1" s="225" t="s">
        <v>177</v>
      </c>
      <c r="AI1" s="225" t="s">
        <v>178</v>
      </c>
      <c r="AJ1" s="225" t="s">
        <v>179</v>
      </c>
      <c r="AK1" s="225" t="s">
        <v>180</v>
      </c>
      <c r="AL1" s="225" t="s">
        <v>181</v>
      </c>
      <c r="AM1" s="225" t="s">
        <v>182</v>
      </c>
      <c r="AN1" s="225" t="s">
        <v>183</v>
      </c>
      <c r="AO1" s="225" t="s">
        <v>184</v>
      </c>
      <c r="AP1" s="225" t="s">
        <v>185</v>
      </c>
      <c r="AQ1" s="225" t="s">
        <v>186</v>
      </c>
      <c r="AR1" s="225" t="s">
        <v>187</v>
      </c>
      <c r="AS1" s="225" t="s">
        <v>188</v>
      </c>
      <c r="AT1" s="225" t="s">
        <v>189</v>
      </c>
      <c r="AU1" s="225" t="s">
        <v>190</v>
      </c>
      <c r="AV1" s="225" t="s">
        <v>191</v>
      </c>
      <c r="AW1" s="225" t="s">
        <v>192</v>
      </c>
      <c r="AX1" s="225" t="s">
        <v>193</v>
      </c>
      <c r="AY1" s="225" t="s">
        <v>194</v>
      </c>
      <c r="AZ1" s="225" t="s">
        <v>195</v>
      </c>
      <c r="BA1" s="248" t="s">
        <v>402</v>
      </c>
      <c r="BB1" s="248" t="s">
        <v>478</v>
      </c>
      <c r="BC1" s="225" t="s">
        <v>196</v>
      </c>
      <c r="BD1" s="225" t="s">
        <v>197</v>
      </c>
      <c r="BE1" s="225" t="s">
        <v>198</v>
      </c>
      <c r="BF1" s="225" t="s">
        <v>199</v>
      </c>
      <c r="BG1" s="225" t="s">
        <v>200</v>
      </c>
      <c r="BH1" s="225" t="s">
        <v>201</v>
      </c>
      <c r="BI1" s="225" t="s">
        <v>202</v>
      </c>
      <c r="BJ1" s="225" t="s">
        <v>203</v>
      </c>
      <c r="BK1" s="225" t="s">
        <v>204</v>
      </c>
      <c r="BL1" s="225" t="s">
        <v>205</v>
      </c>
      <c r="BM1" s="225" t="s">
        <v>206</v>
      </c>
      <c r="BN1" s="225" t="s">
        <v>207</v>
      </c>
      <c r="BO1" s="225" t="s">
        <v>208</v>
      </c>
      <c r="BP1" s="225" t="s">
        <v>209</v>
      </c>
      <c r="BQ1" s="225" t="s">
        <v>210</v>
      </c>
      <c r="BR1" s="225" t="s">
        <v>211</v>
      </c>
      <c r="BS1" s="225" t="s">
        <v>212</v>
      </c>
      <c r="BT1" s="225" t="s">
        <v>213</v>
      </c>
      <c r="BU1" s="225" t="s">
        <v>214</v>
      </c>
      <c r="BV1" s="225" t="s">
        <v>215</v>
      </c>
      <c r="BW1" s="225" t="s">
        <v>216</v>
      </c>
      <c r="BX1" s="225" t="s">
        <v>217</v>
      </c>
      <c r="BY1" s="225" t="s">
        <v>218</v>
      </c>
      <c r="BZ1" s="225" t="s">
        <v>6</v>
      </c>
      <c r="CA1" s="225" t="s">
        <v>8</v>
      </c>
      <c r="CB1" s="225" t="s">
        <v>219</v>
      </c>
      <c r="CC1" s="225" t="s">
        <v>45</v>
      </c>
      <c r="CD1" s="225" t="s">
        <v>50</v>
      </c>
      <c r="CE1" s="225" t="s">
        <v>52</v>
      </c>
      <c r="CF1" s="225" t="s">
        <v>220</v>
      </c>
      <c r="CG1" s="225" t="s">
        <v>221</v>
      </c>
      <c r="CH1" s="225" t="s">
        <v>222</v>
      </c>
      <c r="CI1" s="225" t="s">
        <v>61</v>
      </c>
      <c r="CJ1" s="225" t="s">
        <v>223</v>
      </c>
      <c r="CK1" s="225" t="s">
        <v>81</v>
      </c>
      <c r="CL1" s="225" t="s">
        <v>224</v>
      </c>
      <c r="CM1" s="225" t="s">
        <v>84</v>
      </c>
      <c r="CN1" s="225" t="s">
        <v>87</v>
      </c>
      <c r="CO1" s="225" t="s">
        <v>99</v>
      </c>
      <c r="CP1" s="225" t="s">
        <v>100</v>
      </c>
      <c r="CQ1" s="225" t="s">
        <v>98</v>
      </c>
      <c r="CR1" s="225" t="s">
        <v>101</v>
      </c>
      <c r="CS1" s="225" t="s">
        <v>113</v>
      </c>
      <c r="CT1" s="225" t="s">
        <v>120</v>
      </c>
      <c r="CU1" s="225" t="s">
        <v>123</v>
      </c>
      <c r="CV1" s="225" t="s">
        <v>110</v>
      </c>
      <c r="CW1" s="225" t="s">
        <v>129</v>
      </c>
      <c r="CX1" s="225" t="s">
        <v>136</v>
      </c>
      <c r="CY1" s="225" t="s">
        <v>492</v>
      </c>
      <c r="CZ1" s="225" t="s">
        <v>135</v>
      </c>
      <c r="DA1" s="225" t="s">
        <v>225</v>
      </c>
      <c r="DB1" s="225" t="s">
        <v>226</v>
      </c>
      <c r="DC1" s="225" t="s">
        <v>227</v>
      </c>
      <c r="DD1" s="225" t="s">
        <v>228</v>
      </c>
      <c r="DE1" s="225" t="s">
        <v>229</v>
      </c>
      <c r="DF1" s="225" t="s">
        <v>230</v>
      </c>
      <c r="DG1" s="225" t="s">
        <v>231</v>
      </c>
      <c r="DH1" s="225" t="s">
        <v>232</v>
      </c>
    </row>
    <row r="2" spans="1:112">
      <c r="A2" s="213" t="s">
        <v>280</v>
      </c>
      <c r="B2" s="224">
        <v>8625085726</v>
      </c>
      <c r="C2" s="224">
        <v>6054371544</v>
      </c>
      <c r="D2" s="224">
        <v>6054371544</v>
      </c>
      <c r="E2" s="224">
        <v>0</v>
      </c>
      <c r="F2" s="224">
        <v>2570714182</v>
      </c>
      <c r="G2" s="224">
        <v>2570714182</v>
      </c>
      <c r="H2" s="224">
        <v>0</v>
      </c>
      <c r="I2" s="224">
        <v>0</v>
      </c>
      <c r="J2" s="224">
        <v>0</v>
      </c>
      <c r="K2" s="224">
        <v>0</v>
      </c>
      <c r="L2" s="224">
        <v>0</v>
      </c>
      <c r="M2" s="224">
        <v>0</v>
      </c>
      <c r="N2" s="224">
        <v>0</v>
      </c>
      <c r="O2" s="224">
        <v>0</v>
      </c>
      <c r="P2" s="224"/>
      <c r="Q2" s="224">
        <v>0</v>
      </c>
      <c r="R2" s="224"/>
      <c r="S2" s="224">
        <v>0</v>
      </c>
      <c r="T2" s="224">
        <v>0</v>
      </c>
      <c r="U2" s="224"/>
      <c r="V2" s="224">
        <v>8625085726</v>
      </c>
      <c r="W2" s="224">
        <v>7805180024</v>
      </c>
      <c r="X2" s="224">
        <v>5420218210</v>
      </c>
      <c r="Y2" s="224">
        <v>5420218210</v>
      </c>
      <c r="Z2" s="224">
        <v>0</v>
      </c>
      <c r="AA2" s="224">
        <v>2384961814</v>
      </c>
      <c r="AB2" s="224">
        <v>2384961814</v>
      </c>
      <c r="AC2" s="224">
        <v>0</v>
      </c>
      <c r="AD2" s="224">
        <v>0</v>
      </c>
      <c r="AE2" s="224">
        <v>0</v>
      </c>
      <c r="AF2" s="224">
        <v>0</v>
      </c>
      <c r="AG2" s="224">
        <v>0</v>
      </c>
      <c r="AH2" s="224">
        <v>0</v>
      </c>
      <c r="AI2" s="224">
        <v>0</v>
      </c>
      <c r="AJ2" s="224"/>
      <c r="AK2" s="224">
        <v>819905702</v>
      </c>
      <c r="AL2" s="224">
        <v>634153334</v>
      </c>
      <c r="AM2" s="224">
        <v>185752368</v>
      </c>
      <c r="AN2" s="224">
        <v>0</v>
      </c>
      <c r="AO2" s="224">
        <v>0</v>
      </c>
      <c r="AP2" s="224">
        <v>0</v>
      </c>
      <c r="AQ2" s="224">
        <v>0</v>
      </c>
      <c r="AR2" s="224">
        <v>0</v>
      </c>
      <c r="AS2" s="224">
        <v>0</v>
      </c>
      <c r="AT2" s="224">
        <v>655022626</v>
      </c>
      <c r="AU2" s="224">
        <v>73667571</v>
      </c>
      <c r="AV2" s="224">
        <v>581355055</v>
      </c>
      <c r="AW2" s="224">
        <v>581355055</v>
      </c>
      <c r="AX2" s="224"/>
      <c r="AY2" s="224"/>
      <c r="AZ2" s="224"/>
      <c r="BA2" s="247"/>
      <c r="BB2" s="247"/>
      <c r="BC2" s="224">
        <v>0</v>
      </c>
      <c r="BD2" s="224"/>
      <c r="BE2" s="224"/>
      <c r="BF2" s="224"/>
      <c r="BG2" s="224">
        <v>0</v>
      </c>
      <c r="BH2" s="224">
        <v>0</v>
      </c>
      <c r="BI2" s="224">
        <v>0</v>
      </c>
      <c r="BJ2" s="224">
        <v>0</v>
      </c>
      <c r="BK2" s="224"/>
      <c r="BL2" s="224">
        <v>0</v>
      </c>
      <c r="BM2" s="224"/>
      <c r="BN2" s="224">
        <v>0</v>
      </c>
      <c r="BO2" s="224"/>
      <c r="BP2" s="224"/>
      <c r="BQ2" s="224"/>
      <c r="BR2" s="224"/>
      <c r="BS2" s="224"/>
      <c r="BT2" s="224"/>
      <c r="BU2" s="224"/>
      <c r="BV2" s="224"/>
      <c r="BW2" s="224"/>
      <c r="BX2" s="224">
        <v>0</v>
      </c>
      <c r="BY2" s="224"/>
      <c r="BZ2" s="224">
        <v>2178141707</v>
      </c>
      <c r="CA2" s="224">
        <v>911788650</v>
      </c>
      <c r="CB2" s="224">
        <v>91025000</v>
      </c>
      <c r="CC2" s="224">
        <v>113959211</v>
      </c>
      <c r="CD2" s="224">
        <v>22258465</v>
      </c>
      <c r="CE2" s="224">
        <v>9681861</v>
      </c>
      <c r="CF2" s="224">
        <v>1453500</v>
      </c>
      <c r="CG2" s="224">
        <v>0</v>
      </c>
      <c r="CH2" s="224">
        <v>135961</v>
      </c>
      <c r="CI2" s="224">
        <v>14348204</v>
      </c>
      <c r="CJ2" s="224">
        <v>4923862</v>
      </c>
      <c r="CK2" s="224">
        <v>173439630</v>
      </c>
      <c r="CL2" s="224">
        <v>0</v>
      </c>
      <c r="CM2" s="224">
        <v>0</v>
      </c>
      <c r="CN2" s="224">
        <v>55373768</v>
      </c>
      <c r="CO2" s="224">
        <v>0</v>
      </c>
      <c r="CP2" s="224">
        <v>50323519</v>
      </c>
      <c r="CQ2" s="224">
        <v>18670000</v>
      </c>
      <c r="CR2" s="224">
        <v>99171583</v>
      </c>
      <c r="CS2" s="224">
        <v>0</v>
      </c>
      <c r="CT2" s="224">
        <v>0</v>
      </c>
      <c r="CU2" s="224">
        <v>10898148</v>
      </c>
      <c r="CV2" s="224">
        <v>15293914</v>
      </c>
      <c r="CW2" s="224">
        <v>578703704</v>
      </c>
      <c r="CX2" s="224">
        <v>0</v>
      </c>
      <c r="CY2" s="224"/>
      <c r="CZ2" s="224">
        <v>6692727</v>
      </c>
      <c r="DA2" s="224">
        <v>-703213379</v>
      </c>
      <c r="DB2" s="224">
        <v>0</v>
      </c>
      <c r="DC2" s="224">
        <v>0</v>
      </c>
      <c r="DD2" s="224">
        <v>0</v>
      </c>
      <c r="DE2" s="224">
        <v>-703213379</v>
      </c>
      <c r="DF2" s="224"/>
      <c r="DG2" s="224"/>
      <c r="DH2" s="224">
        <v>-703213379</v>
      </c>
    </row>
    <row r="3" spans="1:112">
      <c r="A3" s="213" t="s">
        <v>281</v>
      </c>
      <c r="B3" s="224">
        <v>3123216088</v>
      </c>
      <c r="C3" s="224">
        <v>1592962480</v>
      </c>
      <c r="D3" s="224">
        <v>1592962480</v>
      </c>
      <c r="E3" s="224">
        <v>0</v>
      </c>
      <c r="F3" s="224">
        <v>1530253608</v>
      </c>
      <c r="G3" s="224">
        <v>1530253608</v>
      </c>
      <c r="H3" s="224">
        <v>0</v>
      </c>
      <c r="I3" s="224">
        <v>0</v>
      </c>
      <c r="J3" s="224">
        <v>0</v>
      </c>
      <c r="K3" s="224">
        <v>0</v>
      </c>
      <c r="L3" s="224">
        <v>0</v>
      </c>
      <c r="M3" s="224">
        <v>0</v>
      </c>
      <c r="N3" s="224"/>
      <c r="O3" s="224">
        <v>0</v>
      </c>
      <c r="P3" s="224"/>
      <c r="Q3" s="224">
        <v>0</v>
      </c>
      <c r="R3" s="224"/>
      <c r="S3" s="224">
        <v>0</v>
      </c>
      <c r="T3" s="224">
        <v>0</v>
      </c>
      <c r="U3" s="224"/>
      <c r="V3" s="224">
        <v>3123216088</v>
      </c>
      <c r="W3" s="224">
        <v>2838392433</v>
      </c>
      <c r="X3" s="224">
        <v>1416906756</v>
      </c>
      <c r="Y3" s="224">
        <v>1416906756</v>
      </c>
      <c r="Z3" s="224">
        <v>0</v>
      </c>
      <c r="AA3" s="224">
        <v>1421485677</v>
      </c>
      <c r="AB3" s="224">
        <v>1421485677</v>
      </c>
      <c r="AC3" s="224">
        <v>0</v>
      </c>
      <c r="AD3" s="224">
        <v>0</v>
      </c>
      <c r="AE3" s="224">
        <v>0</v>
      </c>
      <c r="AF3" s="224">
        <v>0</v>
      </c>
      <c r="AG3" s="224">
        <v>0</v>
      </c>
      <c r="AH3" s="224">
        <v>0</v>
      </c>
      <c r="AI3" s="224">
        <v>0</v>
      </c>
      <c r="AJ3" s="224"/>
      <c r="AK3" s="224">
        <v>284823655</v>
      </c>
      <c r="AL3" s="224">
        <v>176055724</v>
      </c>
      <c r="AM3" s="224">
        <v>108767931</v>
      </c>
      <c r="AN3" s="224">
        <v>0</v>
      </c>
      <c r="AO3" s="224">
        <v>0</v>
      </c>
      <c r="AP3" s="224">
        <v>0</v>
      </c>
      <c r="AQ3" s="224">
        <v>0</v>
      </c>
      <c r="AR3" s="224">
        <v>0</v>
      </c>
      <c r="AS3" s="224">
        <v>0</v>
      </c>
      <c r="AT3" s="224">
        <v>569001286</v>
      </c>
      <c r="AU3" s="224">
        <v>25153009</v>
      </c>
      <c r="AV3" s="224">
        <v>543848277</v>
      </c>
      <c r="AW3" s="224">
        <v>543848277</v>
      </c>
      <c r="AX3" s="224"/>
      <c r="AY3" s="224"/>
      <c r="AZ3" s="224"/>
      <c r="BA3" s="247"/>
      <c r="BB3" s="247"/>
      <c r="BC3" s="224">
        <v>0</v>
      </c>
      <c r="BD3" s="224"/>
      <c r="BE3" s="224"/>
      <c r="BF3" s="224"/>
      <c r="BG3" s="224">
        <v>0</v>
      </c>
      <c r="BH3" s="224">
        <v>0</v>
      </c>
      <c r="BI3" s="224">
        <v>0</v>
      </c>
      <c r="BJ3" s="224">
        <v>0</v>
      </c>
      <c r="BK3" s="224"/>
      <c r="BL3" s="224">
        <v>0</v>
      </c>
      <c r="BM3" s="224"/>
      <c r="BN3" s="224">
        <v>0</v>
      </c>
      <c r="BO3" s="224"/>
      <c r="BP3" s="224"/>
      <c r="BQ3" s="224"/>
      <c r="BR3" s="224"/>
      <c r="BS3" s="224"/>
      <c r="BT3" s="224"/>
      <c r="BU3" s="224"/>
      <c r="BV3" s="224"/>
      <c r="BW3" s="224"/>
      <c r="BX3" s="224">
        <v>0</v>
      </c>
      <c r="BY3" s="224"/>
      <c r="BZ3" s="224">
        <v>2077787709</v>
      </c>
      <c r="CA3" s="224">
        <v>958704861</v>
      </c>
      <c r="CB3" s="224">
        <v>93725000</v>
      </c>
      <c r="CC3" s="224">
        <v>113879661</v>
      </c>
      <c r="CD3" s="224">
        <v>21303515</v>
      </c>
      <c r="CE3" s="224">
        <v>6236012</v>
      </c>
      <c r="CF3" s="224">
        <v>1150000</v>
      </c>
      <c r="CG3" s="224">
        <v>1589375</v>
      </c>
      <c r="CH3" s="224">
        <v>193626</v>
      </c>
      <c r="CI3" s="224">
        <v>9079568</v>
      </c>
      <c r="CJ3" s="224">
        <v>4175365</v>
      </c>
      <c r="CK3" s="224">
        <v>173439630</v>
      </c>
      <c r="CL3" s="224">
        <v>6180000</v>
      </c>
      <c r="CM3" s="224">
        <v>0</v>
      </c>
      <c r="CN3" s="224">
        <v>43214365</v>
      </c>
      <c r="CO3" s="224">
        <v>0</v>
      </c>
      <c r="CP3" s="224">
        <v>0</v>
      </c>
      <c r="CQ3" s="224">
        <v>20260000</v>
      </c>
      <c r="CR3" s="224">
        <v>30742259</v>
      </c>
      <c r="CS3" s="224">
        <v>0</v>
      </c>
      <c r="CT3" s="224">
        <v>0</v>
      </c>
      <c r="CU3" s="224">
        <v>0</v>
      </c>
      <c r="CV3" s="224">
        <v>8518041</v>
      </c>
      <c r="CW3" s="224">
        <v>578703704</v>
      </c>
      <c r="CX3" s="224">
        <v>0</v>
      </c>
      <c r="CY3" s="224"/>
      <c r="CZ3" s="224">
        <v>6692727</v>
      </c>
      <c r="DA3" s="224">
        <v>-1223962768</v>
      </c>
      <c r="DB3" s="224">
        <v>0</v>
      </c>
      <c r="DC3" s="224">
        <v>226080</v>
      </c>
      <c r="DD3" s="224">
        <v>-226080</v>
      </c>
      <c r="DE3" s="224">
        <v>-1224188848</v>
      </c>
      <c r="DF3" s="224"/>
      <c r="DG3" s="224"/>
      <c r="DH3" s="224">
        <v>-1224188848</v>
      </c>
    </row>
    <row r="4" spans="1:112">
      <c r="A4" s="213" t="s">
        <v>282</v>
      </c>
      <c r="B4" s="224">
        <v>6873593666</v>
      </c>
      <c r="C4" s="224">
        <v>4857041894</v>
      </c>
      <c r="D4" s="224">
        <v>4857041894</v>
      </c>
      <c r="E4" s="224">
        <v>0</v>
      </c>
      <c r="F4" s="224">
        <v>2016551772</v>
      </c>
      <c r="G4" s="224">
        <v>2016551772</v>
      </c>
      <c r="H4" s="224">
        <v>0</v>
      </c>
      <c r="I4" s="224">
        <v>0</v>
      </c>
      <c r="J4" s="224">
        <v>0</v>
      </c>
      <c r="K4" s="224">
        <v>0</v>
      </c>
      <c r="L4" s="224">
        <v>0</v>
      </c>
      <c r="M4" s="224">
        <v>0</v>
      </c>
      <c r="N4" s="224"/>
      <c r="O4" s="224">
        <v>0</v>
      </c>
      <c r="P4" s="224"/>
      <c r="Q4" s="224">
        <v>0</v>
      </c>
      <c r="R4" s="224"/>
      <c r="S4" s="224">
        <v>0</v>
      </c>
      <c r="T4" s="224">
        <v>0</v>
      </c>
      <c r="U4" s="224"/>
      <c r="V4" s="224">
        <v>6873593666</v>
      </c>
      <c r="W4" s="224">
        <v>6199087938</v>
      </c>
      <c r="X4" s="224">
        <v>4347889639</v>
      </c>
      <c r="Y4" s="224">
        <v>4347889639</v>
      </c>
      <c r="Z4" s="224">
        <v>0</v>
      </c>
      <c r="AA4" s="224">
        <v>1851198299</v>
      </c>
      <c r="AB4" s="224">
        <v>1851198299</v>
      </c>
      <c r="AC4" s="224">
        <v>0</v>
      </c>
      <c r="AD4" s="224">
        <v>0</v>
      </c>
      <c r="AE4" s="224">
        <v>0</v>
      </c>
      <c r="AF4" s="224">
        <v>0</v>
      </c>
      <c r="AG4" s="224">
        <v>0</v>
      </c>
      <c r="AH4" s="224">
        <v>0</v>
      </c>
      <c r="AI4" s="224">
        <v>0</v>
      </c>
      <c r="AJ4" s="224">
        <v>0</v>
      </c>
      <c r="AK4" s="224">
        <v>674505728</v>
      </c>
      <c r="AL4" s="224">
        <v>509152255</v>
      </c>
      <c r="AM4" s="224">
        <v>165353473</v>
      </c>
      <c r="AN4" s="224">
        <v>0</v>
      </c>
      <c r="AO4" s="224">
        <v>0</v>
      </c>
      <c r="AP4" s="224">
        <v>0</v>
      </c>
      <c r="AQ4" s="224">
        <v>0</v>
      </c>
      <c r="AR4" s="224">
        <v>0</v>
      </c>
      <c r="AS4" s="224">
        <v>0</v>
      </c>
      <c r="AT4" s="224">
        <v>9443122750</v>
      </c>
      <c r="AU4" s="224">
        <v>5280152087</v>
      </c>
      <c r="AV4" s="224">
        <v>4162970663</v>
      </c>
      <c r="AW4" s="224">
        <v>581355055</v>
      </c>
      <c r="AX4" s="224"/>
      <c r="AY4" s="224">
        <v>3361944444</v>
      </c>
      <c r="AZ4" s="224">
        <v>219671164</v>
      </c>
      <c r="BA4" s="247"/>
      <c r="BB4" s="247"/>
      <c r="BC4" s="224">
        <v>0</v>
      </c>
      <c r="BD4" s="224"/>
      <c r="BE4" s="224"/>
      <c r="BF4" s="224"/>
      <c r="BG4" s="224">
        <v>0</v>
      </c>
      <c r="BH4" s="224">
        <v>21479475899</v>
      </c>
      <c r="BI4" s="224">
        <v>403750000</v>
      </c>
      <c r="BJ4" s="224">
        <v>403750000</v>
      </c>
      <c r="BK4" s="224"/>
      <c r="BL4" s="224">
        <v>0</v>
      </c>
      <c r="BM4" s="224"/>
      <c r="BN4" s="224">
        <v>21075725899</v>
      </c>
      <c r="BO4" s="224">
        <v>6168793054</v>
      </c>
      <c r="BP4" s="224">
        <v>83080308</v>
      </c>
      <c r="BQ4" s="224">
        <v>1845419239</v>
      </c>
      <c r="BR4" s="224">
        <v>-2712916</v>
      </c>
      <c r="BS4" s="224">
        <v>0</v>
      </c>
      <c r="BT4" s="224">
        <v>75757555</v>
      </c>
      <c r="BU4" s="224">
        <v>12905388659</v>
      </c>
      <c r="BV4" s="224"/>
      <c r="BW4" s="224"/>
      <c r="BX4" s="224">
        <v>0</v>
      </c>
      <c r="BY4" s="224"/>
      <c r="BZ4" s="224">
        <v>2344941717</v>
      </c>
      <c r="CA4" s="224">
        <v>950802765</v>
      </c>
      <c r="CB4" s="224">
        <v>93725000</v>
      </c>
      <c r="CC4" s="224">
        <v>114700116</v>
      </c>
      <c r="CD4" s="224">
        <v>13345727</v>
      </c>
      <c r="CE4" s="224">
        <v>5056223</v>
      </c>
      <c r="CF4" s="224">
        <v>1609000</v>
      </c>
      <c r="CG4" s="224">
        <v>4479875</v>
      </c>
      <c r="CH4" s="224">
        <v>166985</v>
      </c>
      <c r="CI4" s="224">
        <v>20004318</v>
      </c>
      <c r="CJ4" s="224">
        <v>4664711</v>
      </c>
      <c r="CK4" s="224">
        <v>173439630</v>
      </c>
      <c r="CL4" s="224">
        <v>3090000</v>
      </c>
      <c r="CM4" s="224">
        <v>-4675021</v>
      </c>
      <c r="CN4" s="224">
        <v>37662311</v>
      </c>
      <c r="CO4" s="224">
        <v>0</v>
      </c>
      <c r="CP4" s="224">
        <v>35281481</v>
      </c>
      <c r="CQ4" s="224">
        <v>20190000</v>
      </c>
      <c r="CR4" s="224">
        <v>193122862</v>
      </c>
      <c r="CS4" s="224">
        <v>40000000</v>
      </c>
      <c r="CT4" s="224">
        <v>0</v>
      </c>
      <c r="CU4" s="224">
        <v>20000000</v>
      </c>
      <c r="CV4" s="224">
        <v>13897822</v>
      </c>
      <c r="CW4" s="224">
        <v>597685185</v>
      </c>
      <c r="CX4" s="224">
        <v>0</v>
      </c>
      <c r="CY4" s="224"/>
      <c r="CZ4" s="224">
        <v>6692727</v>
      </c>
      <c r="DA4" s="224">
        <v>-13706789138</v>
      </c>
      <c r="DB4" s="224">
        <v>0</v>
      </c>
      <c r="DC4" s="224">
        <v>143215</v>
      </c>
      <c r="DD4" s="224">
        <v>-143215</v>
      </c>
      <c r="DE4" s="224">
        <v>-13706932353</v>
      </c>
      <c r="DF4" s="224"/>
      <c r="DG4" s="224"/>
      <c r="DH4" s="224">
        <v>-13706932353</v>
      </c>
    </row>
    <row r="5" spans="1:112">
      <c r="A5" s="213" t="s">
        <v>283</v>
      </c>
      <c r="B5" s="224">
        <v>9452938544</v>
      </c>
      <c r="C5" s="224">
        <v>4901146832</v>
      </c>
      <c r="D5" s="224">
        <v>4901146832</v>
      </c>
      <c r="E5" s="224">
        <v>0</v>
      </c>
      <c r="F5" s="224">
        <v>4551791712</v>
      </c>
      <c r="G5" s="224">
        <v>4551791712</v>
      </c>
      <c r="H5" s="224">
        <v>0</v>
      </c>
      <c r="I5" s="224">
        <v>0</v>
      </c>
      <c r="J5" s="224">
        <v>0</v>
      </c>
      <c r="K5" s="224">
        <v>0</v>
      </c>
      <c r="L5" s="224">
        <v>0</v>
      </c>
      <c r="M5" s="224">
        <v>0</v>
      </c>
      <c r="N5" s="224"/>
      <c r="O5" s="224">
        <v>0</v>
      </c>
      <c r="P5" s="224">
        <v>0</v>
      </c>
      <c r="Q5" s="224">
        <v>0</v>
      </c>
      <c r="R5" s="224"/>
      <c r="S5" s="224">
        <v>0</v>
      </c>
      <c r="T5" s="224">
        <v>0</v>
      </c>
      <c r="U5" s="224"/>
      <c r="V5" s="224">
        <v>9452938544</v>
      </c>
      <c r="W5" s="224">
        <v>8579413552</v>
      </c>
      <c r="X5" s="224">
        <v>4394088223</v>
      </c>
      <c r="Y5" s="224">
        <v>4394088223</v>
      </c>
      <c r="Z5" s="224">
        <v>0</v>
      </c>
      <c r="AA5" s="224">
        <v>4185325329</v>
      </c>
      <c r="AB5" s="224">
        <v>4185325329</v>
      </c>
      <c r="AC5" s="224">
        <v>0</v>
      </c>
      <c r="AD5" s="224">
        <v>0</v>
      </c>
      <c r="AE5" s="224">
        <v>0</v>
      </c>
      <c r="AF5" s="224">
        <v>0</v>
      </c>
      <c r="AG5" s="224">
        <v>0</v>
      </c>
      <c r="AH5" s="224">
        <v>0</v>
      </c>
      <c r="AI5" s="224">
        <v>0</v>
      </c>
      <c r="AJ5" s="224">
        <v>0</v>
      </c>
      <c r="AK5" s="224">
        <v>873524992</v>
      </c>
      <c r="AL5" s="224">
        <v>507058609</v>
      </c>
      <c r="AM5" s="224">
        <v>366466383</v>
      </c>
      <c r="AN5" s="224">
        <v>0</v>
      </c>
      <c r="AO5" s="224">
        <v>0</v>
      </c>
      <c r="AP5" s="224">
        <v>0</v>
      </c>
      <c r="AQ5" s="224">
        <v>0</v>
      </c>
      <c r="AR5" s="224">
        <v>0</v>
      </c>
      <c r="AS5" s="224">
        <v>0</v>
      </c>
      <c r="AT5" s="224">
        <v>579703025</v>
      </c>
      <c r="AU5" s="224">
        <v>17101358</v>
      </c>
      <c r="AV5" s="224">
        <v>562601667</v>
      </c>
      <c r="AW5" s="224">
        <v>562601667</v>
      </c>
      <c r="AX5" s="224"/>
      <c r="AY5" s="224"/>
      <c r="AZ5" s="224"/>
      <c r="BA5" s="247"/>
      <c r="BB5" s="247"/>
      <c r="BC5" s="224">
        <v>0</v>
      </c>
      <c r="BD5" s="224"/>
      <c r="BE5" s="224"/>
      <c r="BF5" s="224"/>
      <c r="BG5" s="224">
        <v>0</v>
      </c>
      <c r="BH5" s="224">
        <v>0</v>
      </c>
      <c r="BI5" s="224">
        <v>0</v>
      </c>
      <c r="BJ5" s="224">
        <v>0</v>
      </c>
      <c r="BK5" s="224"/>
      <c r="BL5" s="224">
        <v>0</v>
      </c>
      <c r="BM5" s="224"/>
      <c r="BN5" s="224">
        <v>0</v>
      </c>
      <c r="BO5" s="224"/>
      <c r="BP5" s="224"/>
      <c r="BQ5" s="224"/>
      <c r="BR5" s="224"/>
      <c r="BS5" s="224"/>
      <c r="BT5" s="224"/>
      <c r="BU5" s="224"/>
      <c r="BV5" s="224"/>
      <c r="BW5" s="224"/>
      <c r="BX5" s="224">
        <v>0</v>
      </c>
      <c r="BY5" s="224"/>
      <c r="BZ5" s="224">
        <v>1974387701</v>
      </c>
      <c r="CA5" s="224">
        <v>803831750</v>
      </c>
      <c r="CB5" s="224">
        <v>89725000</v>
      </c>
      <c r="CC5" s="224">
        <v>114700116</v>
      </c>
      <c r="CD5" s="224">
        <v>13345727</v>
      </c>
      <c r="CE5" s="224">
        <v>7301830</v>
      </c>
      <c r="CF5" s="224">
        <v>708000</v>
      </c>
      <c r="CG5" s="224">
        <v>15058148</v>
      </c>
      <c r="CH5" s="224">
        <v>412675</v>
      </c>
      <c r="CI5" s="224">
        <v>9844318</v>
      </c>
      <c r="CJ5" s="224">
        <v>5267921</v>
      </c>
      <c r="CK5" s="224">
        <v>173439630</v>
      </c>
      <c r="CL5" s="224">
        <v>3090000</v>
      </c>
      <c r="CM5" s="224">
        <v>31557200</v>
      </c>
      <c r="CN5" s="224">
        <v>39389705</v>
      </c>
      <c r="CO5" s="224">
        <v>0</v>
      </c>
      <c r="CP5" s="224">
        <v>24490741</v>
      </c>
      <c r="CQ5" s="224">
        <v>18530000</v>
      </c>
      <c r="CR5" s="224">
        <v>23296131</v>
      </c>
      <c r="CS5" s="224">
        <v>10500000</v>
      </c>
      <c r="CT5" s="224">
        <v>0</v>
      </c>
      <c r="CU5" s="224">
        <v>0</v>
      </c>
      <c r="CV5" s="224">
        <v>11195105</v>
      </c>
      <c r="CW5" s="224">
        <v>578703704</v>
      </c>
      <c r="CX5" s="224">
        <v>0</v>
      </c>
      <c r="CY5" s="224"/>
      <c r="CZ5" s="224">
        <v>0</v>
      </c>
      <c r="DA5" s="224">
        <v>-521159684</v>
      </c>
      <c r="DB5" s="224">
        <v>0</v>
      </c>
      <c r="DC5" s="224">
        <v>1521660</v>
      </c>
      <c r="DD5" s="224">
        <v>-1521660</v>
      </c>
      <c r="DE5" s="224">
        <v>-522681344</v>
      </c>
      <c r="DF5" s="224"/>
      <c r="DG5" s="224"/>
      <c r="DH5" s="224">
        <v>-522681344</v>
      </c>
    </row>
    <row r="6" spans="1:112">
      <c r="A6" s="213" t="s">
        <v>284</v>
      </c>
      <c r="B6" s="224">
        <v>12187684327</v>
      </c>
      <c r="C6" s="224">
        <v>5698773042</v>
      </c>
      <c r="D6" s="224">
        <v>5698773042</v>
      </c>
      <c r="E6" s="224">
        <v>0</v>
      </c>
      <c r="F6" s="224">
        <v>6488911285</v>
      </c>
      <c r="G6" s="224">
        <v>6488911285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/>
      <c r="O6" s="224">
        <v>0</v>
      </c>
      <c r="P6" s="224">
        <v>0</v>
      </c>
      <c r="Q6" s="224">
        <v>0</v>
      </c>
      <c r="R6" s="224"/>
      <c r="S6" s="224">
        <v>0</v>
      </c>
      <c r="T6" s="224">
        <v>0</v>
      </c>
      <c r="U6" s="224"/>
      <c r="V6" s="224">
        <v>12187684327</v>
      </c>
      <c r="W6" s="224">
        <v>11070737060</v>
      </c>
      <c r="X6" s="224">
        <v>5107226643</v>
      </c>
      <c r="Y6" s="224">
        <v>5107226643</v>
      </c>
      <c r="Z6" s="224">
        <v>0</v>
      </c>
      <c r="AA6" s="224">
        <v>5962494816</v>
      </c>
      <c r="AB6" s="224">
        <v>5962494816</v>
      </c>
      <c r="AC6" s="224">
        <v>0</v>
      </c>
      <c r="AD6" s="224">
        <v>0</v>
      </c>
      <c r="AE6" s="224">
        <v>0</v>
      </c>
      <c r="AF6" s="224">
        <v>0</v>
      </c>
      <c r="AG6" s="224">
        <v>1015601</v>
      </c>
      <c r="AH6" s="224">
        <v>0</v>
      </c>
      <c r="AI6" s="224">
        <v>1015601</v>
      </c>
      <c r="AJ6" s="224">
        <v>0</v>
      </c>
      <c r="AK6" s="224">
        <v>1116947267</v>
      </c>
      <c r="AL6" s="224">
        <v>591546399</v>
      </c>
      <c r="AM6" s="224">
        <v>526416469</v>
      </c>
      <c r="AN6" s="224">
        <v>0</v>
      </c>
      <c r="AO6" s="224">
        <v>-1015601</v>
      </c>
      <c r="AP6" s="224">
        <v>0</v>
      </c>
      <c r="AQ6" s="224">
        <v>0</v>
      </c>
      <c r="AR6" s="224">
        <v>-1015601</v>
      </c>
      <c r="AS6" s="224">
        <v>0</v>
      </c>
      <c r="AT6" s="224">
        <v>9888987518</v>
      </c>
      <c r="AU6" s="224">
        <v>9097063</v>
      </c>
      <c r="AV6" s="224">
        <v>581355055</v>
      </c>
      <c r="AW6" s="224">
        <v>581355055</v>
      </c>
      <c r="AX6" s="224"/>
      <c r="AY6" s="224"/>
      <c r="AZ6" s="224"/>
      <c r="BA6" s="247"/>
      <c r="BB6" s="247"/>
      <c r="BC6" s="224">
        <v>9298535400</v>
      </c>
      <c r="BD6" s="224"/>
      <c r="BE6" s="224"/>
      <c r="BF6" s="224">
        <v>9298535400</v>
      </c>
      <c r="BG6" s="224">
        <v>0</v>
      </c>
      <c r="BH6" s="224">
        <v>-149800000</v>
      </c>
      <c r="BI6" s="224">
        <v>0</v>
      </c>
      <c r="BJ6" s="224">
        <v>0</v>
      </c>
      <c r="BK6" s="224"/>
      <c r="BL6" s="224">
        <v>0</v>
      </c>
      <c r="BM6" s="224"/>
      <c r="BN6" s="224">
        <v>-149800000</v>
      </c>
      <c r="BO6" s="224"/>
      <c r="BP6" s="224"/>
      <c r="BQ6" s="224"/>
      <c r="BR6" s="224"/>
      <c r="BS6" s="224">
        <v>-149800000</v>
      </c>
      <c r="BT6" s="224"/>
      <c r="BU6" s="224"/>
      <c r="BV6" s="224"/>
      <c r="BW6" s="224"/>
      <c r="BX6" s="224">
        <v>0</v>
      </c>
      <c r="BY6" s="224"/>
      <c r="BZ6" s="224">
        <v>2023326994</v>
      </c>
      <c r="CA6" s="224">
        <v>765258550</v>
      </c>
      <c r="CB6" s="224">
        <v>94169444</v>
      </c>
      <c r="CC6" s="224">
        <v>115215702</v>
      </c>
      <c r="CD6" s="224">
        <v>13345727</v>
      </c>
      <c r="CE6" s="224">
        <v>7722474</v>
      </c>
      <c r="CF6" s="224">
        <v>2533000</v>
      </c>
      <c r="CG6" s="224">
        <v>941125</v>
      </c>
      <c r="CH6" s="224">
        <v>0</v>
      </c>
      <c r="CI6" s="224">
        <v>9844318</v>
      </c>
      <c r="CJ6" s="224">
        <v>4676491</v>
      </c>
      <c r="CK6" s="224">
        <v>173439630</v>
      </c>
      <c r="CL6" s="224">
        <v>3090000</v>
      </c>
      <c r="CM6" s="224">
        <v>4860960</v>
      </c>
      <c r="CN6" s="224">
        <v>39547184</v>
      </c>
      <c r="CO6" s="224">
        <v>75000000</v>
      </c>
      <c r="CP6" s="224">
        <v>20517852</v>
      </c>
      <c r="CQ6" s="224">
        <v>18880000</v>
      </c>
      <c r="CR6" s="224">
        <v>35827353</v>
      </c>
      <c r="CS6" s="224">
        <v>37481891</v>
      </c>
      <c r="CT6" s="224">
        <v>0</v>
      </c>
      <c r="CU6" s="224">
        <v>0</v>
      </c>
      <c r="CV6" s="224">
        <v>10714217</v>
      </c>
      <c r="CW6" s="224">
        <v>578703704</v>
      </c>
      <c r="CX6" s="224">
        <v>0</v>
      </c>
      <c r="CY6" s="224"/>
      <c r="CZ6" s="224">
        <v>11557372</v>
      </c>
      <c r="DA6" s="224">
        <v>9132407791</v>
      </c>
      <c r="DB6" s="224">
        <v>0</v>
      </c>
      <c r="DC6" s="224">
        <v>9604190</v>
      </c>
      <c r="DD6" s="224">
        <v>-9604190</v>
      </c>
      <c r="DE6" s="224">
        <v>9122803601</v>
      </c>
      <c r="DF6" s="224"/>
      <c r="DG6" s="224"/>
      <c r="DH6" s="224">
        <v>9122803601</v>
      </c>
    </row>
    <row r="7" spans="1:112">
      <c r="A7" s="213" t="s">
        <v>285</v>
      </c>
      <c r="B7" s="224">
        <v>14572553903</v>
      </c>
      <c r="C7" s="224">
        <v>5610862091</v>
      </c>
      <c r="D7" s="224">
        <v>5209021091</v>
      </c>
      <c r="E7" s="224">
        <v>401841000</v>
      </c>
      <c r="F7" s="224">
        <v>8928464540</v>
      </c>
      <c r="G7" s="224">
        <v>4060850756</v>
      </c>
      <c r="H7" s="224">
        <v>4867613784</v>
      </c>
      <c r="I7" s="224">
        <v>0</v>
      </c>
      <c r="J7" s="224">
        <v>0</v>
      </c>
      <c r="K7" s="224">
        <v>0</v>
      </c>
      <c r="L7" s="224">
        <v>33227272</v>
      </c>
      <c r="M7" s="224">
        <v>0</v>
      </c>
      <c r="N7" s="224">
        <v>20000000</v>
      </c>
      <c r="O7" s="224">
        <v>13227272</v>
      </c>
      <c r="P7" s="224">
        <v>0</v>
      </c>
      <c r="Q7" s="224">
        <v>0</v>
      </c>
      <c r="R7" s="224"/>
      <c r="S7" s="224">
        <v>0</v>
      </c>
      <c r="T7" s="224">
        <v>0</v>
      </c>
      <c r="U7" s="224"/>
      <c r="V7" s="224">
        <v>14572553903</v>
      </c>
      <c r="W7" s="224">
        <v>13271538977</v>
      </c>
      <c r="X7" s="224">
        <v>5027790863</v>
      </c>
      <c r="Y7" s="224">
        <v>4662480863</v>
      </c>
      <c r="Z7" s="224">
        <v>365310000</v>
      </c>
      <c r="AA7" s="224">
        <v>8241124478</v>
      </c>
      <c r="AB7" s="224">
        <v>3734074678</v>
      </c>
      <c r="AC7" s="224">
        <v>4507049800</v>
      </c>
      <c r="AD7" s="224">
        <v>0</v>
      </c>
      <c r="AE7" s="224">
        <v>0</v>
      </c>
      <c r="AF7" s="224">
        <v>0</v>
      </c>
      <c r="AG7" s="224">
        <v>2623636</v>
      </c>
      <c r="AH7" s="224">
        <v>0</v>
      </c>
      <c r="AI7" s="224">
        <v>2623636</v>
      </c>
      <c r="AJ7" s="224">
        <v>0</v>
      </c>
      <c r="AK7" s="224">
        <v>1301014926</v>
      </c>
      <c r="AL7" s="224">
        <v>583071228</v>
      </c>
      <c r="AM7" s="224">
        <v>687340062</v>
      </c>
      <c r="AN7" s="224">
        <v>0</v>
      </c>
      <c r="AO7" s="224">
        <v>30603636</v>
      </c>
      <c r="AP7" s="224">
        <v>0</v>
      </c>
      <c r="AQ7" s="224">
        <v>20000000</v>
      </c>
      <c r="AR7" s="224">
        <v>10603636</v>
      </c>
      <c r="AS7" s="224">
        <v>0</v>
      </c>
      <c r="AT7" s="224">
        <v>9307971703</v>
      </c>
      <c r="AU7" s="224">
        <v>5163754428</v>
      </c>
      <c r="AV7" s="224">
        <v>4144217275</v>
      </c>
      <c r="AW7" s="224">
        <v>562601667</v>
      </c>
      <c r="AX7" s="224"/>
      <c r="AY7" s="224">
        <v>3361944444</v>
      </c>
      <c r="AZ7" s="224">
        <v>219671164</v>
      </c>
      <c r="BA7" s="247"/>
      <c r="BB7" s="247"/>
      <c r="BC7" s="224">
        <v>0</v>
      </c>
      <c r="BD7" s="224"/>
      <c r="BE7" s="224"/>
      <c r="BF7" s="224"/>
      <c r="BG7" s="224">
        <v>0</v>
      </c>
      <c r="BH7" s="224">
        <v>29978881946</v>
      </c>
      <c r="BI7" s="224">
        <v>117958333</v>
      </c>
      <c r="BJ7" s="224">
        <v>117958333</v>
      </c>
      <c r="BK7" s="224"/>
      <c r="BL7" s="224">
        <v>0</v>
      </c>
      <c r="BM7" s="224"/>
      <c r="BN7" s="224">
        <v>29860923613</v>
      </c>
      <c r="BO7" s="224">
        <v>3647559235</v>
      </c>
      <c r="BP7" s="224">
        <v>746062941</v>
      </c>
      <c r="BQ7" s="224">
        <v>1874674376</v>
      </c>
      <c r="BR7" s="224">
        <v>-2602003</v>
      </c>
      <c r="BS7" s="224"/>
      <c r="BT7" s="224">
        <v>120202069</v>
      </c>
      <c r="BU7" s="224">
        <v>23475026995</v>
      </c>
      <c r="BV7" s="224"/>
      <c r="BW7" s="224"/>
      <c r="BX7" s="224">
        <v>0</v>
      </c>
      <c r="BY7" s="224"/>
      <c r="BZ7" s="224">
        <v>2494250298</v>
      </c>
      <c r="CA7" s="224">
        <v>808083850</v>
      </c>
      <c r="CB7" s="224">
        <v>89725000</v>
      </c>
      <c r="CC7" s="224">
        <v>113266707</v>
      </c>
      <c r="CD7" s="224">
        <v>13345727</v>
      </c>
      <c r="CE7" s="224">
        <v>3861464</v>
      </c>
      <c r="CF7" s="224">
        <v>2325000</v>
      </c>
      <c r="CG7" s="224">
        <v>2585375</v>
      </c>
      <c r="CH7" s="224">
        <v>205217</v>
      </c>
      <c r="CI7" s="224">
        <v>12498191</v>
      </c>
      <c r="CJ7" s="224">
        <v>5468174</v>
      </c>
      <c r="CK7" s="224">
        <v>173439630</v>
      </c>
      <c r="CL7" s="224">
        <v>3090000</v>
      </c>
      <c r="CM7" s="224">
        <v>0</v>
      </c>
      <c r="CN7" s="224">
        <v>40587649</v>
      </c>
      <c r="CO7" s="224">
        <v>180000000</v>
      </c>
      <c r="CP7" s="224">
        <v>7994482</v>
      </c>
      <c r="CQ7" s="224">
        <v>19580000</v>
      </c>
      <c r="CR7" s="224">
        <v>11213506</v>
      </c>
      <c r="CS7" s="224">
        <v>11058333</v>
      </c>
      <c r="CT7" s="224">
        <v>0</v>
      </c>
      <c r="CU7" s="224">
        <v>0</v>
      </c>
      <c r="CV7" s="224">
        <v>12188107</v>
      </c>
      <c r="CW7" s="224">
        <v>981763704</v>
      </c>
      <c r="CX7" s="224">
        <v>0</v>
      </c>
      <c r="CY7" s="224"/>
      <c r="CZ7" s="224">
        <v>1970182</v>
      </c>
      <c r="DA7" s="224">
        <v>-21864145615</v>
      </c>
      <c r="DB7" s="224">
        <v>0</v>
      </c>
      <c r="DC7" s="224">
        <v>0</v>
      </c>
      <c r="DD7" s="224">
        <v>0</v>
      </c>
      <c r="DE7" s="224">
        <v>-21864145615</v>
      </c>
      <c r="DF7" s="224"/>
      <c r="DG7" s="224"/>
      <c r="DH7" s="224">
        <v>-21864145615</v>
      </c>
    </row>
    <row r="8" spans="1:112">
      <c r="A8" s="213" t="s">
        <v>286</v>
      </c>
      <c r="B8" s="224">
        <v>57110446262</v>
      </c>
      <c r="C8" s="224">
        <v>6421054729</v>
      </c>
      <c r="D8" s="224">
        <v>6214276729</v>
      </c>
      <c r="E8" s="224">
        <v>206778000</v>
      </c>
      <c r="F8" s="224">
        <v>50669391533</v>
      </c>
      <c r="G8" s="224">
        <v>6721621934</v>
      </c>
      <c r="H8" s="224">
        <v>43947769599</v>
      </c>
      <c r="I8" s="224">
        <v>0</v>
      </c>
      <c r="J8" s="224">
        <v>0</v>
      </c>
      <c r="K8" s="224">
        <v>0</v>
      </c>
      <c r="L8" s="224">
        <v>20000000</v>
      </c>
      <c r="M8" s="224">
        <v>0</v>
      </c>
      <c r="N8" s="224">
        <v>20000000</v>
      </c>
      <c r="O8" s="224">
        <v>0</v>
      </c>
      <c r="P8" s="224">
        <v>0</v>
      </c>
      <c r="Q8" s="224">
        <v>0</v>
      </c>
      <c r="R8" s="224"/>
      <c r="S8" s="224">
        <v>0</v>
      </c>
      <c r="T8" s="224">
        <v>0</v>
      </c>
      <c r="U8" s="224"/>
      <c r="V8" s="224">
        <v>57110446262</v>
      </c>
      <c r="W8" s="224">
        <v>52763714267</v>
      </c>
      <c r="X8" s="224">
        <v>5763730719</v>
      </c>
      <c r="Y8" s="224">
        <v>5575750719</v>
      </c>
      <c r="Z8" s="224">
        <v>187979999.99999997</v>
      </c>
      <c r="AA8" s="224">
        <v>46997359912</v>
      </c>
      <c r="AB8" s="224">
        <v>6173012712</v>
      </c>
      <c r="AC8" s="224">
        <v>40824347200</v>
      </c>
      <c r="AD8" s="224">
        <v>0</v>
      </c>
      <c r="AE8" s="224">
        <v>0</v>
      </c>
      <c r="AF8" s="224">
        <v>0</v>
      </c>
      <c r="AG8" s="224">
        <v>2623636</v>
      </c>
      <c r="AH8" s="224">
        <v>0</v>
      </c>
      <c r="AI8" s="224">
        <v>2623636</v>
      </c>
      <c r="AJ8" s="224">
        <v>0</v>
      </c>
      <c r="AK8" s="224">
        <v>4346731995</v>
      </c>
      <c r="AL8" s="224">
        <v>657324010</v>
      </c>
      <c r="AM8" s="224">
        <v>3672031621</v>
      </c>
      <c r="AN8" s="224">
        <v>0</v>
      </c>
      <c r="AO8" s="224">
        <v>17376364</v>
      </c>
      <c r="AP8" s="224">
        <v>0</v>
      </c>
      <c r="AQ8" s="224">
        <v>20000000</v>
      </c>
      <c r="AR8" s="224">
        <v>-2623636</v>
      </c>
      <c r="AS8" s="224">
        <v>0</v>
      </c>
      <c r="AT8" s="224">
        <v>583611514</v>
      </c>
      <c r="AU8" s="224">
        <v>2256459</v>
      </c>
      <c r="AV8" s="224">
        <v>581355055</v>
      </c>
      <c r="AW8" s="224">
        <v>581355055</v>
      </c>
      <c r="AX8" s="224"/>
      <c r="AY8" s="224"/>
      <c r="AZ8" s="224"/>
      <c r="BA8" s="247"/>
      <c r="BB8" s="247"/>
      <c r="BC8" s="224">
        <v>0</v>
      </c>
      <c r="BD8" s="224"/>
      <c r="BE8" s="224"/>
      <c r="BF8" s="224"/>
      <c r="BG8" s="224">
        <v>0</v>
      </c>
      <c r="BH8" s="224">
        <v>0</v>
      </c>
      <c r="BI8" s="224">
        <v>0</v>
      </c>
      <c r="BJ8" s="224">
        <v>0</v>
      </c>
      <c r="BK8" s="224"/>
      <c r="BL8" s="224">
        <v>0</v>
      </c>
      <c r="BM8" s="224"/>
      <c r="BN8" s="224">
        <v>0</v>
      </c>
      <c r="BO8" s="224"/>
      <c r="BP8" s="224"/>
      <c r="BQ8" s="224"/>
      <c r="BR8" s="224"/>
      <c r="BS8" s="224"/>
      <c r="BT8" s="224"/>
      <c r="BU8" s="224"/>
      <c r="BV8" s="224"/>
      <c r="BW8" s="224"/>
      <c r="BX8" s="224">
        <v>0</v>
      </c>
      <c r="BY8" s="224"/>
      <c r="BZ8" s="224">
        <v>2064843899</v>
      </c>
      <c r="CA8" s="224">
        <v>789059150</v>
      </c>
      <c r="CB8" s="224">
        <v>94812000</v>
      </c>
      <c r="CC8" s="224">
        <v>113266707</v>
      </c>
      <c r="CD8" s="224">
        <v>13345727</v>
      </c>
      <c r="CE8" s="224">
        <v>1897076</v>
      </c>
      <c r="CF8" s="224">
        <v>3016500</v>
      </c>
      <c r="CG8" s="224">
        <v>1887750</v>
      </c>
      <c r="CH8" s="224">
        <v>148805</v>
      </c>
      <c r="CI8" s="224">
        <v>9850918</v>
      </c>
      <c r="CJ8" s="224">
        <v>5271360</v>
      </c>
      <c r="CK8" s="224">
        <v>173439630</v>
      </c>
      <c r="CL8" s="224">
        <v>3090000</v>
      </c>
      <c r="CM8" s="224">
        <v>0</v>
      </c>
      <c r="CN8" s="224">
        <v>53519932</v>
      </c>
      <c r="CO8" s="224">
        <v>0</v>
      </c>
      <c r="CP8" s="224">
        <v>49947038</v>
      </c>
      <c r="CQ8" s="224">
        <v>19650000</v>
      </c>
      <c r="CR8" s="224">
        <v>75782795</v>
      </c>
      <c r="CS8" s="224">
        <v>0</v>
      </c>
      <c r="CT8" s="224">
        <v>46116000</v>
      </c>
      <c r="CU8" s="224">
        <v>0</v>
      </c>
      <c r="CV8" s="224">
        <v>11233625</v>
      </c>
      <c r="CW8" s="224">
        <v>597538704</v>
      </c>
      <c r="CX8" s="224">
        <v>0</v>
      </c>
      <c r="CY8" s="224"/>
      <c r="CZ8" s="224">
        <v>1970182</v>
      </c>
      <c r="DA8" s="224">
        <v>2865499610</v>
      </c>
      <c r="DB8" s="224">
        <v>0</v>
      </c>
      <c r="DC8" s="224">
        <v>36</v>
      </c>
      <c r="DD8" s="224">
        <v>-36</v>
      </c>
      <c r="DE8" s="224">
        <v>2865499574</v>
      </c>
      <c r="DF8" s="224"/>
      <c r="DG8" s="224"/>
      <c r="DH8" s="224">
        <v>2865499574</v>
      </c>
    </row>
    <row r="9" spans="1:112">
      <c r="A9" s="213" t="s">
        <v>287</v>
      </c>
      <c r="B9" s="224">
        <v>81979724061</v>
      </c>
      <c r="C9" s="224">
        <v>11310822536</v>
      </c>
      <c r="D9" s="224">
        <v>7336395536</v>
      </c>
      <c r="E9" s="224">
        <v>3974427000</v>
      </c>
      <c r="F9" s="224">
        <v>70668901525</v>
      </c>
      <c r="G9" s="224">
        <v>4475550994</v>
      </c>
      <c r="H9" s="224">
        <v>66193350531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/>
      <c r="O9" s="224">
        <v>0</v>
      </c>
      <c r="P9" s="224">
        <v>0</v>
      </c>
      <c r="Q9" s="224">
        <v>0</v>
      </c>
      <c r="R9" s="224"/>
      <c r="S9" s="224">
        <v>0</v>
      </c>
      <c r="T9" s="224">
        <v>0</v>
      </c>
      <c r="U9" s="224"/>
      <c r="V9" s="224">
        <v>81979724061</v>
      </c>
      <c r="W9" s="224">
        <v>76245376692</v>
      </c>
      <c r="X9" s="224">
        <v>10219811699</v>
      </c>
      <c r="Y9" s="224">
        <v>6602741699</v>
      </c>
      <c r="Z9" s="224">
        <v>3617070000</v>
      </c>
      <c r="AA9" s="224">
        <v>66022941357</v>
      </c>
      <c r="AB9" s="224">
        <v>4095632227</v>
      </c>
      <c r="AC9" s="224">
        <v>61927309130</v>
      </c>
      <c r="AD9" s="224">
        <v>0</v>
      </c>
      <c r="AE9" s="224">
        <v>0</v>
      </c>
      <c r="AF9" s="224">
        <v>0</v>
      </c>
      <c r="AG9" s="224">
        <v>2623636</v>
      </c>
      <c r="AH9" s="224">
        <v>0</v>
      </c>
      <c r="AI9" s="224">
        <v>2623636</v>
      </c>
      <c r="AJ9" s="224">
        <v>0</v>
      </c>
      <c r="AK9" s="224">
        <v>5734347369</v>
      </c>
      <c r="AL9" s="224">
        <v>1091010837</v>
      </c>
      <c r="AM9" s="224">
        <v>4645960168</v>
      </c>
      <c r="AN9" s="224">
        <v>0</v>
      </c>
      <c r="AO9" s="224">
        <v>-2623636</v>
      </c>
      <c r="AP9" s="224">
        <v>0</v>
      </c>
      <c r="AQ9" s="224">
        <v>0</v>
      </c>
      <c r="AR9" s="224">
        <v>-2623636</v>
      </c>
      <c r="AS9" s="224">
        <v>0</v>
      </c>
      <c r="AT9" s="224">
        <v>582732913</v>
      </c>
      <c r="AU9" s="224">
        <v>1377858</v>
      </c>
      <c r="AV9" s="224">
        <v>581355055</v>
      </c>
      <c r="AW9" s="224">
        <v>581355056</v>
      </c>
      <c r="AX9" s="224"/>
      <c r="AY9" s="224"/>
      <c r="AZ9" s="224"/>
      <c r="BA9" s="247"/>
      <c r="BB9" s="247"/>
      <c r="BC9" s="224">
        <v>0</v>
      </c>
      <c r="BD9" s="224"/>
      <c r="BE9" s="224"/>
      <c r="BF9" s="224"/>
      <c r="BG9" s="224">
        <v>0</v>
      </c>
      <c r="BH9" s="224">
        <v>0</v>
      </c>
      <c r="BI9" s="224">
        <v>0</v>
      </c>
      <c r="BJ9" s="224">
        <v>0</v>
      </c>
      <c r="BK9" s="224"/>
      <c r="BL9" s="224">
        <v>0</v>
      </c>
      <c r="BM9" s="224"/>
      <c r="BN9" s="224">
        <v>0</v>
      </c>
      <c r="BO9" s="224"/>
      <c r="BP9" s="224"/>
      <c r="BQ9" s="224"/>
      <c r="BR9" s="224"/>
      <c r="BS9" s="224"/>
      <c r="BT9" s="224"/>
      <c r="BU9" s="224"/>
      <c r="BV9" s="224"/>
      <c r="BW9" s="224"/>
      <c r="BX9" s="224">
        <v>0</v>
      </c>
      <c r="BY9" s="224"/>
      <c r="BZ9" s="224">
        <v>2058769462</v>
      </c>
      <c r="CA9" s="224">
        <v>815536750</v>
      </c>
      <c r="CB9" s="224">
        <v>134725000</v>
      </c>
      <c r="CC9" s="224">
        <v>113266707</v>
      </c>
      <c r="CD9" s="224">
        <v>13345727</v>
      </c>
      <c r="CE9" s="224">
        <v>2305928</v>
      </c>
      <c r="CF9" s="224">
        <v>2345500</v>
      </c>
      <c r="CG9" s="224">
        <v>3161875</v>
      </c>
      <c r="CH9" s="224">
        <v>215551</v>
      </c>
      <c r="CI9" s="224">
        <v>11200918</v>
      </c>
      <c r="CJ9" s="224">
        <v>5356268</v>
      </c>
      <c r="CK9" s="224">
        <v>173439630</v>
      </c>
      <c r="CL9" s="224">
        <v>3090000</v>
      </c>
      <c r="CM9" s="224">
        <v>0</v>
      </c>
      <c r="CN9" s="224">
        <v>48859602</v>
      </c>
      <c r="CO9" s="224">
        <v>0</v>
      </c>
      <c r="CP9" s="224">
        <v>15384815</v>
      </c>
      <c r="CQ9" s="224">
        <v>19930000</v>
      </c>
      <c r="CR9" s="224">
        <v>66926239</v>
      </c>
      <c r="CS9" s="224">
        <v>0</v>
      </c>
      <c r="CT9" s="224">
        <v>37000000</v>
      </c>
      <c r="CU9" s="224">
        <v>0</v>
      </c>
      <c r="CV9" s="224">
        <v>12005073</v>
      </c>
      <c r="CW9" s="224">
        <v>578703697</v>
      </c>
      <c r="CX9" s="224">
        <v>0</v>
      </c>
      <c r="CY9" s="224"/>
      <c r="CZ9" s="224">
        <v>1970182</v>
      </c>
      <c r="DA9" s="224">
        <v>4258310820</v>
      </c>
      <c r="DB9" s="224">
        <v>10000000</v>
      </c>
      <c r="DC9" s="224">
        <v>0</v>
      </c>
      <c r="DD9" s="224">
        <v>10000000</v>
      </c>
      <c r="DE9" s="224">
        <v>4268310820</v>
      </c>
      <c r="DF9" s="224"/>
      <c r="DG9" s="224"/>
      <c r="DH9" s="224">
        <v>4268310820</v>
      </c>
    </row>
    <row r="10" spans="1:112">
      <c r="A10" s="213" t="s">
        <v>288</v>
      </c>
      <c r="B10" s="224">
        <v>27445755387</v>
      </c>
      <c r="C10" s="224">
        <v>7134202337</v>
      </c>
      <c r="D10" s="224">
        <v>5835187337</v>
      </c>
      <c r="E10" s="224">
        <v>1299015000</v>
      </c>
      <c r="F10" s="224">
        <v>20293738278</v>
      </c>
      <c r="G10" s="224">
        <v>2729573370</v>
      </c>
      <c r="H10" s="224">
        <v>17564164908</v>
      </c>
      <c r="I10" s="224">
        <v>0</v>
      </c>
      <c r="J10" s="224">
        <v>0</v>
      </c>
      <c r="K10" s="224">
        <v>0</v>
      </c>
      <c r="L10" s="224">
        <v>17814772</v>
      </c>
      <c r="M10" s="224">
        <v>0</v>
      </c>
      <c r="N10" s="224"/>
      <c r="O10" s="224">
        <v>17814772</v>
      </c>
      <c r="P10" s="224">
        <v>0</v>
      </c>
      <c r="Q10" s="224">
        <v>0</v>
      </c>
      <c r="R10" s="224"/>
      <c r="S10" s="224">
        <v>0</v>
      </c>
      <c r="T10" s="224">
        <v>0</v>
      </c>
      <c r="U10" s="224"/>
      <c r="V10" s="224">
        <v>27445755387</v>
      </c>
      <c r="W10" s="224">
        <v>25361766850</v>
      </c>
      <c r="X10" s="224">
        <v>6420416282</v>
      </c>
      <c r="Y10" s="224">
        <v>5237516282</v>
      </c>
      <c r="Z10" s="224">
        <v>1182900000</v>
      </c>
      <c r="AA10" s="224">
        <v>18938726932</v>
      </c>
      <c r="AB10" s="224">
        <v>2502567662</v>
      </c>
      <c r="AC10" s="224">
        <v>16436159270</v>
      </c>
      <c r="AD10" s="224">
        <v>0</v>
      </c>
      <c r="AE10" s="224">
        <v>0</v>
      </c>
      <c r="AF10" s="224">
        <v>0</v>
      </c>
      <c r="AG10" s="224">
        <v>2623636</v>
      </c>
      <c r="AH10" s="224">
        <v>0</v>
      </c>
      <c r="AI10" s="224">
        <v>2623636</v>
      </c>
      <c r="AJ10" s="224">
        <v>0</v>
      </c>
      <c r="AK10" s="224">
        <v>2083988537</v>
      </c>
      <c r="AL10" s="224">
        <v>713786055</v>
      </c>
      <c r="AM10" s="224">
        <v>1355011346</v>
      </c>
      <c r="AN10" s="224">
        <v>0</v>
      </c>
      <c r="AO10" s="224">
        <v>15191136</v>
      </c>
      <c r="AP10" s="224">
        <v>0</v>
      </c>
      <c r="AQ10" s="224">
        <v>0</v>
      </c>
      <c r="AR10" s="224">
        <v>15191136</v>
      </c>
      <c r="AS10" s="224">
        <v>0</v>
      </c>
      <c r="AT10" s="224">
        <v>9375664751</v>
      </c>
      <c r="AU10" s="224">
        <v>5192089063</v>
      </c>
      <c r="AV10" s="224">
        <v>4183575688</v>
      </c>
      <c r="AW10" s="224">
        <v>562601667</v>
      </c>
      <c r="AX10" s="224"/>
      <c r="AY10" s="224">
        <v>3398888889</v>
      </c>
      <c r="AZ10" s="224">
        <v>222085132</v>
      </c>
      <c r="BA10" s="247"/>
      <c r="BB10" s="247"/>
      <c r="BC10" s="224">
        <v>0</v>
      </c>
      <c r="BD10" s="224"/>
      <c r="BE10" s="224"/>
      <c r="BF10" s="224"/>
      <c r="BG10" s="224">
        <v>0</v>
      </c>
      <c r="BH10" s="224">
        <v>-77686854144</v>
      </c>
      <c r="BI10" s="224">
        <v>0</v>
      </c>
      <c r="BJ10" s="224">
        <v>0</v>
      </c>
      <c r="BK10" s="224"/>
      <c r="BL10" s="224">
        <v>0</v>
      </c>
      <c r="BM10" s="224"/>
      <c r="BN10" s="224">
        <v>-77686854144</v>
      </c>
      <c r="BO10" s="224">
        <v>-52998238668</v>
      </c>
      <c r="BP10" s="224">
        <v>-229572197</v>
      </c>
      <c r="BQ10" s="224">
        <v>1847975139</v>
      </c>
      <c r="BR10" s="224">
        <v>10073397236</v>
      </c>
      <c r="BS10" s="224"/>
      <c r="BT10" s="224"/>
      <c r="BU10" s="224">
        <v>-36380415654</v>
      </c>
      <c r="BV10" s="224"/>
      <c r="BW10" s="224"/>
      <c r="BX10" s="224">
        <v>0</v>
      </c>
      <c r="BY10" s="224"/>
      <c r="BZ10" s="224">
        <v>1855334066</v>
      </c>
      <c r="CA10" s="224">
        <v>771099628</v>
      </c>
      <c r="CB10" s="224">
        <v>102725000</v>
      </c>
      <c r="CC10" s="224">
        <v>113266654</v>
      </c>
      <c r="CD10" s="224">
        <v>13345727</v>
      </c>
      <c r="CE10" s="224">
        <v>1556808</v>
      </c>
      <c r="CF10" s="224">
        <v>2005800</v>
      </c>
      <c r="CG10" s="224">
        <v>2769125</v>
      </c>
      <c r="CH10" s="224">
        <v>160716</v>
      </c>
      <c r="CI10" s="224">
        <v>9850918</v>
      </c>
      <c r="CJ10" s="224">
        <v>5279700</v>
      </c>
      <c r="CK10" s="224">
        <v>173439630</v>
      </c>
      <c r="CL10" s="224">
        <v>3090000</v>
      </c>
      <c r="CM10" s="224">
        <v>0</v>
      </c>
      <c r="CN10" s="224">
        <v>41433987</v>
      </c>
      <c r="CO10" s="224">
        <v>0</v>
      </c>
      <c r="CP10" s="224">
        <v>14552852</v>
      </c>
      <c r="CQ10" s="224">
        <v>20070000</v>
      </c>
      <c r="CR10" s="224">
        <v>72636368</v>
      </c>
      <c r="CS10" s="224">
        <v>0</v>
      </c>
      <c r="CT10" s="224">
        <v>0</v>
      </c>
      <c r="CU10" s="224">
        <v>90000000</v>
      </c>
      <c r="CV10" s="224">
        <v>12556971</v>
      </c>
      <c r="CW10" s="224">
        <v>401524000</v>
      </c>
      <c r="CX10" s="224">
        <v>2000000</v>
      </c>
      <c r="CY10" s="224"/>
      <c r="CZ10" s="224">
        <v>1970182</v>
      </c>
      <c r="DA10" s="224">
        <v>87291173366</v>
      </c>
      <c r="DB10" s="224">
        <v>0</v>
      </c>
      <c r="DC10" s="224">
        <v>0</v>
      </c>
      <c r="DD10" s="224">
        <v>0</v>
      </c>
      <c r="DE10" s="224">
        <v>87291173366</v>
      </c>
      <c r="DF10" s="224"/>
      <c r="DG10" s="224"/>
      <c r="DH10" s="224">
        <v>87291173366</v>
      </c>
    </row>
    <row r="11" spans="1:112">
      <c r="A11" s="213" t="s">
        <v>289</v>
      </c>
      <c r="B11" s="224">
        <v>10025415221</v>
      </c>
      <c r="C11" s="224">
        <v>7576579001</v>
      </c>
      <c r="D11" s="224">
        <v>7576579001</v>
      </c>
      <c r="E11" s="224">
        <v>0</v>
      </c>
      <c r="F11" s="224">
        <v>2448836220</v>
      </c>
      <c r="G11" s="224">
        <v>2448836220</v>
      </c>
      <c r="H11" s="224">
        <v>0</v>
      </c>
      <c r="I11" s="224">
        <v>0</v>
      </c>
      <c r="J11" s="224">
        <v>0</v>
      </c>
      <c r="K11" s="224">
        <v>0</v>
      </c>
      <c r="L11" s="224">
        <v>0</v>
      </c>
      <c r="M11" s="224">
        <v>0</v>
      </c>
      <c r="N11" s="224"/>
      <c r="O11" s="224">
        <v>0</v>
      </c>
      <c r="P11" s="224">
        <v>0</v>
      </c>
      <c r="Q11" s="224">
        <v>2391574</v>
      </c>
      <c r="R11" s="224"/>
      <c r="S11" s="224">
        <v>0</v>
      </c>
      <c r="T11" s="224">
        <v>2391574</v>
      </c>
      <c r="U11" s="224"/>
      <c r="V11" s="224">
        <v>10023023647</v>
      </c>
      <c r="W11" s="224">
        <v>9048980524</v>
      </c>
      <c r="X11" s="224">
        <v>6795766086</v>
      </c>
      <c r="Y11" s="224">
        <v>6795766086</v>
      </c>
      <c r="Z11" s="224">
        <v>0</v>
      </c>
      <c r="AA11" s="224">
        <v>2249496256</v>
      </c>
      <c r="AB11" s="224">
        <v>2249496256</v>
      </c>
      <c r="AC11" s="224">
        <v>0</v>
      </c>
      <c r="AD11" s="224">
        <v>0</v>
      </c>
      <c r="AE11" s="224">
        <v>0</v>
      </c>
      <c r="AF11" s="224">
        <v>0</v>
      </c>
      <c r="AG11" s="224">
        <v>3718182</v>
      </c>
      <c r="AH11" s="224">
        <v>0</v>
      </c>
      <c r="AI11" s="224">
        <v>3718182</v>
      </c>
      <c r="AJ11" s="224">
        <v>0</v>
      </c>
      <c r="AK11" s="224">
        <v>974043123</v>
      </c>
      <c r="AL11" s="224">
        <v>778421341</v>
      </c>
      <c r="AM11" s="224">
        <v>199339964</v>
      </c>
      <c r="AN11" s="224">
        <v>0</v>
      </c>
      <c r="AO11" s="224">
        <v>-3718182</v>
      </c>
      <c r="AP11" s="224">
        <v>0</v>
      </c>
      <c r="AQ11" s="224">
        <v>0</v>
      </c>
      <c r="AR11" s="224">
        <v>-3718182</v>
      </c>
      <c r="AS11" s="224">
        <v>0</v>
      </c>
      <c r="AT11" s="224">
        <v>587563553</v>
      </c>
      <c r="AU11" s="224">
        <v>6208498</v>
      </c>
      <c r="AV11" s="224">
        <v>581355055</v>
      </c>
      <c r="AW11" s="224">
        <v>581355055</v>
      </c>
      <c r="AX11" s="224"/>
      <c r="AY11" s="224"/>
      <c r="AZ11" s="224"/>
      <c r="BA11" s="247"/>
      <c r="BB11" s="247"/>
      <c r="BC11" s="224">
        <v>0</v>
      </c>
      <c r="BD11" s="224"/>
      <c r="BE11" s="224"/>
      <c r="BF11" s="224"/>
      <c r="BG11" s="224">
        <v>0</v>
      </c>
      <c r="BH11" s="224">
        <v>77289654</v>
      </c>
      <c r="BI11" s="224">
        <v>83333333</v>
      </c>
      <c r="BJ11" s="224">
        <v>0</v>
      </c>
      <c r="BK11" s="224">
        <v>83333333</v>
      </c>
      <c r="BL11" s="224">
        <v>0</v>
      </c>
      <c r="BM11" s="224"/>
      <c r="BN11" s="224">
        <v>-73342043679</v>
      </c>
      <c r="BO11" s="224"/>
      <c r="BP11" s="224"/>
      <c r="BQ11" s="224"/>
      <c r="BR11" s="224">
        <v>-73342043679</v>
      </c>
      <c r="BS11" s="224"/>
      <c r="BT11" s="224"/>
      <c r="BU11" s="224"/>
      <c r="BV11" s="224"/>
      <c r="BW11" s="224"/>
      <c r="BX11" s="224">
        <v>73336000000</v>
      </c>
      <c r="BY11" s="224"/>
      <c r="BZ11" s="224">
        <v>1388669391</v>
      </c>
      <c r="CA11" s="224">
        <v>893400204</v>
      </c>
      <c r="CB11" s="224">
        <v>90000000</v>
      </c>
      <c r="CC11" s="224">
        <v>65327526</v>
      </c>
      <c r="CD11" s="224">
        <v>13345727</v>
      </c>
      <c r="CE11" s="224">
        <v>5000378</v>
      </c>
      <c r="CF11" s="224">
        <v>1579500</v>
      </c>
      <c r="CG11" s="224">
        <v>16986986</v>
      </c>
      <c r="CH11" s="224">
        <v>190084</v>
      </c>
      <c r="CI11" s="224">
        <v>9850918</v>
      </c>
      <c r="CJ11" s="224">
        <v>5019182</v>
      </c>
      <c r="CK11" s="224">
        <v>173439630</v>
      </c>
      <c r="CL11" s="224">
        <v>3090000</v>
      </c>
      <c r="CM11" s="224">
        <v>0</v>
      </c>
      <c r="CN11" s="224">
        <v>36700986</v>
      </c>
      <c r="CO11" s="224">
        <v>0</v>
      </c>
      <c r="CP11" s="224">
        <v>24127852</v>
      </c>
      <c r="CQ11" s="224">
        <v>19020000</v>
      </c>
      <c r="CR11" s="224">
        <v>20033562</v>
      </c>
      <c r="CS11" s="224">
        <v>0</v>
      </c>
      <c r="CT11" s="224">
        <v>0</v>
      </c>
      <c r="CU11" s="224">
        <v>0</v>
      </c>
      <c r="CV11" s="224">
        <v>11528610</v>
      </c>
      <c r="CW11" s="224">
        <v>0</v>
      </c>
      <c r="CX11" s="224">
        <v>0</v>
      </c>
      <c r="CY11" s="224"/>
      <c r="CZ11" s="224">
        <v>28246</v>
      </c>
      <c r="DA11" s="224">
        <v>95647631</v>
      </c>
      <c r="DB11" s="224">
        <v>0</v>
      </c>
      <c r="DC11" s="224">
        <v>0</v>
      </c>
      <c r="DD11" s="224">
        <v>0</v>
      </c>
      <c r="DE11" s="224">
        <v>95647631</v>
      </c>
      <c r="DF11" s="224"/>
      <c r="DG11" s="224"/>
      <c r="DH11" s="224">
        <v>95647631</v>
      </c>
    </row>
    <row r="12" spans="1:112">
      <c r="A12" s="213" t="s">
        <v>290</v>
      </c>
      <c r="B12" s="224">
        <v>8751235578</v>
      </c>
      <c r="C12" s="224">
        <v>6182501598</v>
      </c>
      <c r="D12" s="224">
        <v>6182501598</v>
      </c>
      <c r="E12" s="224">
        <v>0</v>
      </c>
      <c r="F12" s="224">
        <v>2558733980</v>
      </c>
      <c r="G12" s="224">
        <v>2558733980</v>
      </c>
      <c r="H12" s="224">
        <v>0</v>
      </c>
      <c r="I12" s="224">
        <v>0</v>
      </c>
      <c r="J12" s="224">
        <v>0</v>
      </c>
      <c r="K12" s="224">
        <v>0</v>
      </c>
      <c r="L12" s="224">
        <v>10000000</v>
      </c>
      <c r="M12" s="224"/>
      <c r="N12" s="224">
        <v>10000000</v>
      </c>
      <c r="O12" s="224">
        <v>0</v>
      </c>
      <c r="P12" s="224">
        <v>0</v>
      </c>
      <c r="Q12" s="224">
        <v>0</v>
      </c>
      <c r="R12" s="224"/>
      <c r="S12" s="224">
        <v>0</v>
      </c>
      <c r="T12" s="224">
        <v>0</v>
      </c>
      <c r="U12" s="224"/>
      <c r="V12" s="224">
        <v>8751235578</v>
      </c>
      <c r="W12" s="224">
        <v>7907134663</v>
      </c>
      <c r="X12" s="224">
        <v>5554039682</v>
      </c>
      <c r="Y12" s="224">
        <v>5554039682</v>
      </c>
      <c r="Z12" s="224">
        <v>0</v>
      </c>
      <c r="AA12" s="224">
        <v>2349376799</v>
      </c>
      <c r="AB12" s="224">
        <v>2349376799</v>
      </c>
      <c r="AC12" s="224">
        <v>0</v>
      </c>
      <c r="AD12" s="224">
        <v>0</v>
      </c>
      <c r="AE12" s="224">
        <v>0</v>
      </c>
      <c r="AF12" s="224">
        <v>0</v>
      </c>
      <c r="AG12" s="224">
        <v>3718182</v>
      </c>
      <c r="AH12" s="224">
        <v>0</v>
      </c>
      <c r="AI12" s="224">
        <v>3718182</v>
      </c>
      <c r="AJ12" s="224">
        <v>0</v>
      </c>
      <c r="AK12" s="224">
        <v>844100915</v>
      </c>
      <c r="AL12" s="224">
        <v>628461916</v>
      </c>
      <c r="AM12" s="224">
        <v>209357181</v>
      </c>
      <c r="AN12" s="224">
        <v>0</v>
      </c>
      <c r="AO12" s="224">
        <v>6281818</v>
      </c>
      <c r="AP12" s="224">
        <v>0</v>
      </c>
      <c r="AQ12" s="224">
        <v>10000000</v>
      </c>
      <c r="AR12" s="224">
        <v>-3718182</v>
      </c>
      <c r="AS12" s="224">
        <v>0</v>
      </c>
      <c r="AT12" s="224">
        <v>599930515</v>
      </c>
      <c r="AU12" s="224">
        <v>37328848</v>
      </c>
      <c r="AV12" s="224">
        <v>562601667</v>
      </c>
      <c r="AW12" s="224">
        <v>562601667</v>
      </c>
      <c r="AX12" s="224"/>
      <c r="AY12" s="224"/>
      <c r="AZ12" s="224"/>
      <c r="BA12" s="247"/>
      <c r="BB12" s="247"/>
      <c r="BC12" s="224">
        <v>0</v>
      </c>
      <c r="BD12" s="224"/>
      <c r="BE12" s="224"/>
      <c r="BF12" s="224"/>
      <c r="BG12" s="224">
        <v>0</v>
      </c>
      <c r="BH12" s="224">
        <v>1533785147</v>
      </c>
      <c r="BI12" s="224">
        <v>1533785147</v>
      </c>
      <c r="BJ12" s="224">
        <v>0</v>
      </c>
      <c r="BK12" s="224"/>
      <c r="BL12" s="224">
        <v>0</v>
      </c>
      <c r="BM12" s="224">
        <v>1533785147</v>
      </c>
      <c r="BN12" s="224">
        <v>0</v>
      </c>
      <c r="BO12" s="224"/>
      <c r="BP12" s="224"/>
      <c r="BQ12" s="224"/>
      <c r="BR12" s="224"/>
      <c r="BS12" s="224"/>
      <c r="BT12" s="224"/>
      <c r="BU12" s="224"/>
      <c r="BV12" s="224"/>
      <c r="BW12" s="224"/>
      <c r="BX12" s="224">
        <v>0</v>
      </c>
      <c r="BY12" s="224"/>
      <c r="BZ12" s="224">
        <v>4355412022</v>
      </c>
      <c r="CA12" s="224">
        <v>781678946</v>
      </c>
      <c r="CB12" s="224">
        <v>87500000</v>
      </c>
      <c r="CC12" s="224">
        <v>16256874</v>
      </c>
      <c r="CD12" s="224">
        <v>12689060</v>
      </c>
      <c r="CE12" s="224">
        <v>1913520</v>
      </c>
      <c r="CF12" s="224">
        <v>2135700</v>
      </c>
      <c r="CG12" s="224">
        <v>1380500</v>
      </c>
      <c r="CH12" s="224">
        <v>172209</v>
      </c>
      <c r="CI12" s="224">
        <v>8787918</v>
      </c>
      <c r="CJ12" s="224">
        <v>5574386</v>
      </c>
      <c r="CK12" s="224">
        <v>173439630</v>
      </c>
      <c r="CL12" s="224">
        <v>3090000</v>
      </c>
      <c r="CM12" s="224">
        <v>98800000</v>
      </c>
      <c r="CN12" s="224">
        <v>40516641</v>
      </c>
      <c r="CO12" s="224">
        <v>0</v>
      </c>
      <c r="CP12" s="224">
        <v>6758370</v>
      </c>
      <c r="CQ12" s="224">
        <v>18810000</v>
      </c>
      <c r="CR12" s="224">
        <v>64960939</v>
      </c>
      <c r="CS12" s="224">
        <v>0</v>
      </c>
      <c r="CT12" s="224">
        <v>15467171</v>
      </c>
      <c r="CU12" s="224">
        <v>3000000000</v>
      </c>
      <c r="CV12" s="224">
        <v>15480158</v>
      </c>
      <c r="CW12" s="224">
        <v>0</v>
      </c>
      <c r="CX12" s="224">
        <v>0</v>
      </c>
      <c r="CY12" s="224"/>
      <c r="CZ12" s="224">
        <v>0</v>
      </c>
      <c r="DA12" s="224">
        <v>-4445165739</v>
      </c>
      <c r="DB12" s="224">
        <v>3427864</v>
      </c>
      <c r="DC12" s="224">
        <v>0</v>
      </c>
      <c r="DD12" s="224">
        <v>3427864</v>
      </c>
      <c r="DE12" s="224">
        <v>-4441737875</v>
      </c>
      <c r="DF12" s="224"/>
      <c r="DG12" s="224"/>
      <c r="DH12" s="224">
        <v>-4441737875</v>
      </c>
    </row>
    <row r="13" spans="1:112">
      <c r="A13" s="213" t="s">
        <v>291</v>
      </c>
      <c r="B13" s="224">
        <v>11590372717</v>
      </c>
      <c r="C13" s="224">
        <v>8723461568</v>
      </c>
      <c r="D13" s="224">
        <v>8723461568</v>
      </c>
      <c r="E13" s="224">
        <v>0</v>
      </c>
      <c r="F13" s="224">
        <v>1662959440</v>
      </c>
      <c r="G13" s="224">
        <v>1662959440</v>
      </c>
      <c r="H13" s="224">
        <v>0</v>
      </c>
      <c r="I13" s="224">
        <v>846947640</v>
      </c>
      <c r="J13" s="224">
        <v>846947640</v>
      </c>
      <c r="K13" s="224">
        <v>0</v>
      </c>
      <c r="L13" s="224">
        <v>46865180</v>
      </c>
      <c r="M13" s="224"/>
      <c r="N13" s="224">
        <v>20000000</v>
      </c>
      <c r="O13" s="224">
        <v>26865180</v>
      </c>
      <c r="P13" s="224">
        <v>310138889</v>
      </c>
      <c r="Q13" s="224">
        <v>0</v>
      </c>
      <c r="R13" s="224"/>
      <c r="S13" s="224">
        <v>0</v>
      </c>
      <c r="T13" s="224">
        <v>0</v>
      </c>
      <c r="U13" s="224"/>
      <c r="V13" s="224">
        <v>11590372717</v>
      </c>
      <c r="W13" s="224">
        <v>10255343316</v>
      </c>
      <c r="X13" s="224">
        <v>7848961041</v>
      </c>
      <c r="Y13" s="224">
        <v>7848961041</v>
      </c>
      <c r="Z13" s="224">
        <v>0</v>
      </c>
      <c r="AA13" s="224">
        <v>1520203204</v>
      </c>
      <c r="AB13" s="224">
        <v>1520201204</v>
      </c>
      <c r="AC13" s="224">
        <v>0</v>
      </c>
      <c r="AD13" s="224">
        <v>572322000</v>
      </c>
      <c r="AE13" s="224">
        <v>572322000</v>
      </c>
      <c r="AF13" s="224">
        <v>0</v>
      </c>
      <c r="AG13" s="224">
        <v>3718182</v>
      </c>
      <c r="AH13" s="224">
        <v>0</v>
      </c>
      <c r="AI13" s="224">
        <v>3718182</v>
      </c>
      <c r="AJ13" s="224">
        <v>310138889</v>
      </c>
      <c r="AK13" s="224">
        <v>1335029401</v>
      </c>
      <c r="AL13" s="224">
        <v>874500527</v>
      </c>
      <c r="AM13" s="224">
        <v>142756236</v>
      </c>
      <c r="AN13" s="224">
        <v>274625640</v>
      </c>
      <c r="AO13" s="224">
        <v>43146998</v>
      </c>
      <c r="AP13" s="224">
        <v>0</v>
      </c>
      <c r="AQ13" s="224">
        <v>20000000</v>
      </c>
      <c r="AR13" s="224">
        <v>23146998</v>
      </c>
      <c r="AS13" s="224">
        <v>0</v>
      </c>
      <c r="AT13" s="224">
        <v>9396835156</v>
      </c>
      <c r="AU13" s="224">
        <v>4477403378</v>
      </c>
      <c r="AV13" s="224">
        <v>4919199909</v>
      </c>
      <c r="AW13" s="224">
        <v>581355055</v>
      </c>
      <c r="AX13" s="224">
        <v>717083333</v>
      </c>
      <c r="AY13" s="224">
        <v>3398888889</v>
      </c>
      <c r="AZ13" s="224">
        <v>221872632</v>
      </c>
      <c r="BA13" s="247"/>
      <c r="BB13" s="247"/>
      <c r="BC13" s="224">
        <v>0</v>
      </c>
      <c r="BD13" s="224"/>
      <c r="BE13" s="224"/>
      <c r="BF13" s="224"/>
      <c r="BG13" s="224">
        <v>231869</v>
      </c>
      <c r="BH13" s="224">
        <v>18348178519</v>
      </c>
      <c r="BI13" s="224">
        <v>305234319</v>
      </c>
      <c r="BJ13" s="224">
        <v>0</v>
      </c>
      <c r="BK13" s="224"/>
      <c r="BL13" s="224">
        <v>0</v>
      </c>
      <c r="BM13" s="224">
        <v>305234319</v>
      </c>
      <c r="BN13" s="224">
        <v>18042944200</v>
      </c>
      <c r="BO13" s="224">
        <v>14016192455</v>
      </c>
      <c r="BP13" s="224">
        <v>1552035855</v>
      </c>
      <c r="BQ13" s="224">
        <v>2474715890.4646301</v>
      </c>
      <c r="BR13" s="224">
        <v>0</v>
      </c>
      <c r="BS13" s="224">
        <v>0</v>
      </c>
      <c r="BT13" s="224">
        <v>0</v>
      </c>
      <c r="BU13" s="224">
        <v>0</v>
      </c>
      <c r="BV13" s="224">
        <v>0</v>
      </c>
      <c r="BW13" s="224"/>
      <c r="BX13" s="224">
        <v>0</v>
      </c>
      <c r="BY13" s="224"/>
      <c r="BZ13" s="224">
        <v>2663033502</v>
      </c>
      <c r="CA13" s="224">
        <v>1417306050</v>
      </c>
      <c r="CB13" s="224">
        <v>119500000</v>
      </c>
      <c r="CC13" s="224">
        <v>11315143</v>
      </c>
      <c r="CD13" s="224">
        <v>12557727</v>
      </c>
      <c r="CE13" s="224">
        <v>1683640</v>
      </c>
      <c r="CF13" s="224">
        <v>2491000</v>
      </c>
      <c r="CG13" s="224">
        <v>1105500</v>
      </c>
      <c r="CH13" s="224">
        <v>146637</v>
      </c>
      <c r="CI13" s="224">
        <v>8787918</v>
      </c>
      <c r="CJ13" s="224">
        <v>5309576</v>
      </c>
      <c r="CK13" s="224">
        <v>173439630</v>
      </c>
      <c r="CL13" s="224">
        <v>3090000</v>
      </c>
      <c r="CM13" s="224">
        <v>0</v>
      </c>
      <c r="CN13" s="224">
        <v>50965288</v>
      </c>
      <c r="CO13" s="224">
        <v>195000000</v>
      </c>
      <c r="CP13" s="224">
        <v>37788100</v>
      </c>
      <c r="CQ13" s="224">
        <v>16940000</v>
      </c>
      <c r="CR13" s="224">
        <v>100910014</v>
      </c>
      <c r="CS13" s="224">
        <v>0</v>
      </c>
      <c r="CT13" s="224">
        <v>0</v>
      </c>
      <c r="CU13" s="224">
        <v>68750000</v>
      </c>
      <c r="CV13" s="224">
        <v>14888279</v>
      </c>
      <c r="CW13" s="224">
        <v>420459000</v>
      </c>
      <c r="CX13" s="224">
        <v>600000</v>
      </c>
      <c r="CY13" s="224"/>
      <c r="CZ13" s="224">
        <v>0</v>
      </c>
      <c r="DA13" s="224">
        <v>-10279347464</v>
      </c>
      <c r="DB13" s="224">
        <v>100000000000</v>
      </c>
      <c r="DC13" s="224">
        <v>0</v>
      </c>
      <c r="DD13" s="224">
        <v>100000000000</v>
      </c>
      <c r="DE13" s="224">
        <v>89720652536</v>
      </c>
      <c r="DF13" s="224"/>
      <c r="DG13" s="224"/>
      <c r="DH13" s="224">
        <v>89720652536</v>
      </c>
    </row>
    <row r="14" spans="1:112">
      <c r="A14" s="213" t="s">
        <v>292</v>
      </c>
      <c r="B14" s="224">
        <v>13797963587</v>
      </c>
      <c r="C14" s="224">
        <v>4830283572</v>
      </c>
      <c r="D14" s="224">
        <v>4830283572</v>
      </c>
      <c r="E14" s="224"/>
      <c r="F14" s="224">
        <v>2374483990</v>
      </c>
      <c r="G14" s="224">
        <v>2374483990</v>
      </c>
      <c r="H14" s="224"/>
      <c r="I14" s="224">
        <v>6508273987</v>
      </c>
      <c r="J14" s="224">
        <v>3088804480</v>
      </c>
      <c r="K14" s="224">
        <v>3419469507</v>
      </c>
      <c r="L14" s="224">
        <v>0</v>
      </c>
      <c r="M14" s="224">
        <v>0</v>
      </c>
      <c r="N14" s="224">
        <v>0</v>
      </c>
      <c r="O14" s="224">
        <v>0</v>
      </c>
      <c r="P14" s="224">
        <v>84922038</v>
      </c>
      <c r="Q14" s="224">
        <v>0</v>
      </c>
      <c r="R14" s="224"/>
      <c r="S14" s="224">
        <v>0</v>
      </c>
      <c r="T14" s="224">
        <v>0</v>
      </c>
      <c r="U14" s="224"/>
      <c r="V14" s="224">
        <v>13797963587</v>
      </c>
      <c r="W14" s="224">
        <v>11723079196</v>
      </c>
      <c r="X14" s="224">
        <v>4333616469</v>
      </c>
      <c r="Y14" s="224">
        <v>4333616469</v>
      </c>
      <c r="Z14" s="224"/>
      <c r="AA14" s="224">
        <v>2182543104</v>
      </c>
      <c r="AB14" s="224">
        <v>2182543104</v>
      </c>
      <c r="AC14" s="224"/>
      <c r="AD14" s="224">
        <v>5121997585</v>
      </c>
      <c r="AE14" s="224">
        <v>2098069000</v>
      </c>
      <c r="AF14" s="224">
        <v>3023928585</v>
      </c>
      <c r="AG14" s="224">
        <v>0</v>
      </c>
      <c r="AH14" s="224">
        <v>0</v>
      </c>
      <c r="AI14" s="224">
        <v>0</v>
      </c>
      <c r="AJ14" s="224">
        <v>84922038</v>
      </c>
      <c r="AK14" s="224">
        <v>2074884391</v>
      </c>
      <c r="AL14" s="224">
        <v>496667103</v>
      </c>
      <c r="AM14" s="224">
        <v>191940886</v>
      </c>
      <c r="AN14" s="224">
        <v>1386276402</v>
      </c>
      <c r="AO14" s="224">
        <v>0</v>
      </c>
      <c r="AP14" s="224">
        <v>0</v>
      </c>
      <c r="AQ14" s="224">
        <v>0</v>
      </c>
      <c r="AR14" s="224">
        <v>0</v>
      </c>
      <c r="AS14" s="224">
        <v>0</v>
      </c>
      <c r="AT14" s="224">
        <v>625973700</v>
      </c>
      <c r="AU14" s="224">
        <v>44618645</v>
      </c>
      <c r="AV14" s="224">
        <v>581355055</v>
      </c>
      <c r="AW14" s="224">
        <v>581355055</v>
      </c>
      <c r="AX14" s="224"/>
      <c r="AY14" s="224"/>
      <c r="AZ14" s="224"/>
      <c r="BA14" s="247"/>
      <c r="BB14" s="247"/>
      <c r="BC14" s="224">
        <v>0</v>
      </c>
      <c r="BD14" s="224"/>
      <c r="BE14" s="224"/>
      <c r="BF14" s="224"/>
      <c r="BG14" s="224">
        <v>0</v>
      </c>
      <c r="BH14" s="224">
        <v>0</v>
      </c>
      <c r="BI14" s="224">
        <v>0</v>
      </c>
      <c r="BJ14" s="224"/>
      <c r="BK14" s="224"/>
      <c r="BL14" s="224"/>
      <c r="BM14" s="224"/>
      <c r="BN14" s="224">
        <v>0</v>
      </c>
      <c r="BO14" s="224"/>
      <c r="BP14" s="224"/>
      <c r="BQ14" s="224"/>
      <c r="BR14" s="224"/>
      <c r="BS14" s="224"/>
      <c r="BT14" s="224"/>
      <c r="BU14" s="224"/>
      <c r="BV14" s="224"/>
      <c r="BW14" s="224"/>
      <c r="BX14" s="224">
        <v>0</v>
      </c>
      <c r="BY14" s="224">
        <v>10101669</v>
      </c>
      <c r="BZ14" s="224">
        <v>1423642801</v>
      </c>
      <c r="CA14" s="224">
        <v>794942292</v>
      </c>
      <c r="CB14" s="224">
        <v>87500000</v>
      </c>
      <c r="CC14" s="224">
        <v>7208725</v>
      </c>
      <c r="CD14" s="224">
        <v>10757727</v>
      </c>
      <c r="CE14" s="224">
        <v>5924840</v>
      </c>
      <c r="CF14" s="224">
        <v>1917100</v>
      </c>
      <c r="CG14" s="224">
        <v>958125</v>
      </c>
      <c r="CH14" s="224">
        <v>143375</v>
      </c>
      <c r="CI14" s="224">
        <v>10410718</v>
      </c>
      <c r="CJ14" s="224">
        <v>4367199</v>
      </c>
      <c r="CK14" s="224">
        <v>173439630</v>
      </c>
      <c r="CL14" s="224">
        <v>3090000</v>
      </c>
      <c r="CM14" s="224">
        <v>0</v>
      </c>
      <c r="CN14" s="224">
        <v>48790777</v>
      </c>
      <c r="CO14" s="224">
        <v>0</v>
      </c>
      <c r="CP14" s="224">
        <v>0</v>
      </c>
      <c r="CQ14" s="224">
        <v>17220000</v>
      </c>
      <c r="CR14" s="224">
        <v>172269401</v>
      </c>
      <c r="CS14" s="224">
        <v>0</v>
      </c>
      <c r="CT14" s="224">
        <v>0</v>
      </c>
      <c r="CU14" s="224">
        <v>68750000</v>
      </c>
      <c r="CV14" s="224">
        <v>15952892</v>
      </c>
      <c r="CW14" s="224">
        <v>0</v>
      </c>
      <c r="CX14" s="224">
        <v>0</v>
      </c>
      <c r="CY14" s="224"/>
      <c r="CZ14" s="224">
        <v>0</v>
      </c>
      <c r="DA14" s="224">
        <v>1267113621</v>
      </c>
      <c r="DB14" s="224">
        <v>0</v>
      </c>
      <c r="DC14" s="224">
        <v>0</v>
      </c>
      <c r="DD14" s="224">
        <v>0</v>
      </c>
      <c r="DE14" s="224">
        <v>1267113621</v>
      </c>
      <c r="DF14" s="224"/>
      <c r="DG14" s="224"/>
      <c r="DH14" s="224">
        <v>1267113621</v>
      </c>
    </row>
    <row r="15" spans="1:112">
      <c r="A15" s="213" t="s">
        <v>293</v>
      </c>
      <c r="B15" s="224">
        <v>6659874230</v>
      </c>
      <c r="C15" s="224">
        <v>4712279910</v>
      </c>
      <c r="D15" s="224">
        <v>4712279910</v>
      </c>
      <c r="E15" s="224"/>
      <c r="F15" s="224">
        <v>1761977800</v>
      </c>
      <c r="G15" s="224">
        <v>1761977800</v>
      </c>
      <c r="H15" s="224"/>
      <c r="I15" s="224">
        <v>185616520</v>
      </c>
      <c r="J15" s="224">
        <v>157338720</v>
      </c>
      <c r="K15" s="224">
        <v>28277800</v>
      </c>
      <c r="L15" s="224">
        <v>0</v>
      </c>
      <c r="M15" s="224">
        <v>0</v>
      </c>
      <c r="N15" s="224">
        <v>0</v>
      </c>
      <c r="O15" s="224">
        <v>0</v>
      </c>
      <c r="P15" s="224">
        <v>0</v>
      </c>
      <c r="Q15" s="224">
        <v>1048000</v>
      </c>
      <c r="R15" s="224"/>
      <c r="S15" s="224">
        <v>1048000</v>
      </c>
      <c r="T15" s="224">
        <v>0</v>
      </c>
      <c r="U15" s="224"/>
      <c r="V15" s="224">
        <v>6658826230</v>
      </c>
      <c r="W15" s="224">
        <v>6027309576</v>
      </c>
      <c r="X15" s="224">
        <v>4241238614</v>
      </c>
      <c r="Y15" s="224">
        <v>4241238614</v>
      </c>
      <c r="Z15" s="224"/>
      <c r="AA15" s="224">
        <v>1615042488</v>
      </c>
      <c r="AB15" s="224">
        <v>1615042488</v>
      </c>
      <c r="AC15" s="224"/>
      <c r="AD15" s="224">
        <v>163592110</v>
      </c>
      <c r="AE15" s="224">
        <v>140481000</v>
      </c>
      <c r="AF15" s="224">
        <v>23111110</v>
      </c>
      <c r="AG15" s="224">
        <v>7436364</v>
      </c>
      <c r="AH15" s="224">
        <v>0</v>
      </c>
      <c r="AI15" s="224">
        <v>7436364</v>
      </c>
      <c r="AJ15" s="224">
        <v>0</v>
      </c>
      <c r="AK15" s="224">
        <v>631516654</v>
      </c>
      <c r="AL15" s="224">
        <v>471041296</v>
      </c>
      <c r="AM15" s="224">
        <v>145887312</v>
      </c>
      <c r="AN15" s="224">
        <v>22024410</v>
      </c>
      <c r="AO15" s="224">
        <v>-7436364</v>
      </c>
      <c r="AP15" s="224">
        <v>0</v>
      </c>
      <c r="AQ15" s="224">
        <v>0</v>
      </c>
      <c r="AR15" s="224">
        <v>-7436364</v>
      </c>
      <c r="AS15" s="224">
        <v>0</v>
      </c>
      <c r="AT15" s="224">
        <v>645288535</v>
      </c>
      <c r="AU15" s="224">
        <v>120193646</v>
      </c>
      <c r="AV15" s="224">
        <v>525094889</v>
      </c>
      <c r="AW15" s="224">
        <v>525094889</v>
      </c>
      <c r="AX15" s="224"/>
      <c r="AY15" s="224"/>
      <c r="AZ15" s="224"/>
      <c r="BA15" s="247"/>
      <c r="BB15" s="247"/>
      <c r="BC15" s="224">
        <v>0</v>
      </c>
      <c r="BD15" s="224"/>
      <c r="BE15" s="224"/>
      <c r="BF15" s="224"/>
      <c r="BG15" s="224">
        <v>0</v>
      </c>
      <c r="BH15" s="224">
        <v>0</v>
      </c>
      <c r="BI15" s="224">
        <v>0</v>
      </c>
      <c r="BJ15" s="224"/>
      <c r="BK15" s="224"/>
      <c r="BL15" s="224"/>
      <c r="BM15" s="224"/>
      <c r="BN15" s="224">
        <v>0</v>
      </c>
      <c r="BO15" s="224"/>
      <c r="BP15" s="224"/>
      <c r="BQ15" s="224"/>
      <c r="BR15" s="224"/>
      <c r="BS15" s="224"/>
      <c r="BT15" s="224"/>
      <c r="BU15" s="224"/>
      <c r="BV15" s="224"/>
      <c r="BW15" s="224"/>
      <c r="BX15" s="224">
        <v>0</v>
      </c>
      <c r="BY15" s="224">
        <v>856602</v>
      </c>
      <c r="BZ15" s="224">
        <v>1255579031</v>
      </c>
      <c r="CA15" s="224">
        <v>703470600</v>
      </c>
      <c r="CB15" s="224">
        <v>90000000</v>
      </c>
      <c r="CC15" s="224">
        <v>7208725</v>
      </c>
      <c r="CD15" s="224">
        <v>10757727</v>
      </c>
      <c r="CE15" s="224">
        <v>1135856</v>
      </c>
      <c r="CF15" s="224">
        <v>2006000</v>
      </c>
      <c r="CG15" s="224">
        <v>3084875</v>
      </c>
      <c r="CH15" s="224">
        <v>220800</v>
      </c>
      <c r="CI15" s="224">
        <v>11578570</v>
      </c>
      <c r="CJ15" s="224">
        <v>5562657</v>
      </c>
      <c r="CK15" s="224">
        <v>173439630</v>
      </c>
      <c r="CL15" s="224">
        <v>3090000</v>
      </c>
      <c r="CM15" s="224">
        <v>3359200</v>
      </c>
      <c r="CN15" s="224">
        <v>35362050</v>
      </c>
      <c r="CO15" s="224">
        <v>0</v>
      </c>
      <c r="CP15" s="224">
        <v>9466704</v>
      </c>
      <c r="CQ15" s="224">
        <v>15490000</v>
      </c>
      <c r="CR15" s="224">
        <v>60315430</v>
      </c>
      <c r="CS15" s="224">
        <v>40000000</v>
      </c>
      <c r="CT15" s="224">
        <v>0</v>
      </c>
      <c r="CU15" s="224">
        <v>68750000</v>
      </c>
      <c r="CV15" s="224">
        <v>11280207</v>
      </c>
      <c r="CW15" s="224">
        <v>0</v>
      </c>
      <c r="CX15" s="224">
        <v>0</v>
      </c>
      <c r="CY15" s="224"/>
      <c r="CZ15" s="224">
        <v>0</v>
      </c>
      <c r="DA15" s="224">
        <v>20369556</v>
      </c>
      <c r="DB15" s="224">
        <v>743643</v>
      </c>
      <c r="DC15" s="224">
        <v>0</v>
      </c>
      <c r="DD15" s="224">
        <v>743643</v>
      </c>
      <c r="DE15" s="224">
        <v>21113199</v>
      </c>
      <c r="DF15" s="224"/>
      <c r="DG15" s="224"/>
      <c r="DH15" s="224">
        <v>21113199</v>
      </c>
    </row>
    <row r="16" spans="1:112">
      <c r="A16" s="213" t="s">
        <v>294</v>
      </c>
      <c r="B16" s="224">
        <v>9019405457</v>
      </c>
      <c r="C16" s="224">
        <v>7072764093</v>
      </c>
      <c r="D16" s="224">
        <v>7072764093</v>
      </c>
      <c r="E16" s="224"/>
      <c r="F16" s="224">
        <v>1849758900</v>
      </c>
      <c r="G16" s="224">
        <v>1849758900</v>
      </c>
      <c r="H16" s="224"/>
      <c r="I16" s="224">
        <v>0</v>
      </c>
      <c r="J16" s="224"/>
      <c r="K16" s="224"/>
      <c r="L16" s="224">
        <v>96882464</v>
      </c>
      <c r="M16" s="224">
        <v>0</v>
      </c>
      <c r="N16" s="224">
        <v>40000000</v>
      </c>
      <c r="O16" s="224">
        <v>56882464</v>
      </c>
      <c r="P16" s="224">
        <v>0</v>
      </c>
      <c r="Q16" s="224">
        <v>0</v>
      </c>
      <c r="R16" s="224"/>
      <c r="S16" s="224">
        <v>0</v>
      </c>
      <c r="T16" s="224">
        <v>0</v>
      </c>
      <c r="U16" s="224"/>
      <c r="V16" s="224">
        <v>9019405457</v>
      </c>
      <c r="W16" s="224">
        <v>8115781155</v>
      </c>
      <c r="X16" s="224">
        <v>6391646649</v>
      </c>
      <c r="Y16" s="224">
        <v>6391646649</v>
      </c>
      <c r="Z16" s="224"/>
      <c r="AA16" s="224">
        <v>1720416324</v>
      </c>
      <c r="AB16" s="224">
        <v>1720416324</v>
      </c>
      <c r="AC16" s="224"/>
      <c r="AD16" s="224">
        <v>0</v>
      </c>
      <c r="AE16" s="224"/>
      <c r="AF16" s="224"/>
      <c r="AG16" s="224">
        <v>3718182</v>
      </c>
      <c r="AH16" s="224">
        <v>0</v>
      </c>
      <c r="AI16" s="224">
        <v>3718182</v>
      </c>
      <c r="AJ16" s="224">
        <v>0</v>
      </c>
      <c r="AK16" s="224">
        <v>903624302</v>
      </c>
      <c r="AL16" s="224">
        <v>681117444</v>
      </c>
      <c r="AM16" s="224">
        <v>129342576</v>
      </c>
      <c r="AN16" s="224">
        <v>0</v>
      </c>
      <c r="AO16" s="224">
        <v>93164282</v>
      </c>
      <c r="AP16" s="224">
        <v>0</v>
      </c>
      <c r="AQ16" s="224">
        <v>40000000</v>
      </c>
      <c r="AR16" s="224">
        <v>53164282</v>
      </c>
      <c r="AS16" s="224">
        <v>0</v>
      </c>
      <c r="AT16" s="224">
        <v>6810307508</v>
      </c>
      <c r="AU16" s="224">
        <v>1843320258</v>
      </c>
      <c r="AV16" s="224">
        <v>4966987250</v>
      </c>
      <c r="AW16" s="224">
        <v>581355055</v>
      </c>
      <c r="AX16" s="224">
        <v>862500000</v>
      </c>
      <c r="AY16" s="224">
        <v>3325000000</v>
      </c>
      <c r="AZ16" s="224">
        <v>198132195</v>
      </c>
      <c r="BA16" s="247"/>
      <c r="BB16" s="247"/>
      <c r="BC16" s="224">
        <v>0</v>
      </c>
      <c r="BD16" s="224"/>
      <c r="BE16" s="224"/>
      <c r="BF16" s="224"/>
      <c r="BG16" s="224">
        <v>0</v>
      </c>
      <c r="BH16" s="224">
        <v>18566685331</v>
      </c>
      <c r="BI16" s="224">
        <v>0</v>
      </c>
      <c r="BJ16" s="224"/>
      <c r="BK16" s="224"/>
      <c r="BL16" s="224"/>
      <c r="BM16" s="224"/>
      <c r="BN16" s="224">
        <v>18566685331</v>
      </c>
      <c r="BO16" s="224">
        <v>4508439372</v>
      </c>
      <c r="BP16" s="224">
        <v>-211858220</v>
      </c>
      <c r="BQ16" s="224">
        <v>2318095449</v>
      </c>
      <c r="BR16" s="224"/>
      <c r="BS16" s="224"/>
      <c r="BT16" s="224"/>
      <c r="BU16" s="224">
        <v>11952008730</v>
      </c>
      <c r="BV16" s="224"/>
      <c r="BW16" s="224"/>
      <c r="BX16" s="224">
        <v>0</v>
      </c>
      <c r="BY16" s="224">
        <v>2248333</v>
      </c>
      <c r="BZ16" s="224">
        <v>1612748999</v>
      </c>
      <c r="CA16" s="224">
        <v>731395053</v>
      </c>
      <c r="CB16" s="224">
        <v>96642900</v>
      </c>
      <c r="CC16" s="224">
        <v>8116225</v>
      </c>
      <c r="CD16" s="224">
        <v>10757727</v>
      </c>
      <c r="CE16" s="224">
        <v>2077603</v>
      </c>
      <c r="CF16" s="224">
        <v>1386000</v>
      </c>
      <c r="CG16" s="224">
        <v>1720625</v>
      </c>
      <c r="CH16" s="224">
        <v>130444</v>
      </c>
      <c r="CI16" s="224">
        <v>14383819</v>
      </c>
      <c r="CJ16" s="224">
        <v>4798276</v>
      </c>
      <c r="CK16" s="224">
        <v>173439630</v>
      </c>
      <c r="CL16" s="224">
        <v>3090000</v>
      </c>
      <c r="CM16" s="224">
        <v>-6074170</v>
      </c>
      <c r="CN16" s="224">
        <v>34242810</v>
      </c>
      <c r="CO16" s="224">
        <v>0</v>
      </c>
      <c r="CP16" s="224">
        <v>0</v>
      </c>
      <c r="CQ16" s="224">
        <v>15490000</v>
      </c>
      <c r="CR16" s="224">
        <v>38555170</v>
      </c>
      <c r="CS16" s="224">
        <v>0</v>
      </c>
      <c r="CT16" s="224">
        <v>0</v>
      </c>
      <c r="CU16" s="224">
        <v>68750000</v>
      </c>
      <c r="CV16" s="224">
        <v>13846887</v>
      </c>
      <c r="CW16" s="224">
        <v>400000000</v>
      </c>
      <c r="CX16" s="224">
        <v>0</v>
      </c>
      <c r="CY16" s="224"/>
      <c r="CZ16" s="224">
        <v>0</v>
      </c>
      <c r="DA16" s="224">
        <v>-12467750853</v>
      </c>
      <c r="DB16" s="224">
        <v>112000</v>
      </c>
      <c r="DC16" s="224">
        <v>4000000</v>
      </c>
      <c r="DD16" s="224">
        <v>-3888000</v>
      </c>
      <c r="DE16" s="224">
        <v>-12471638853</v>
      </c>
      <c r="DF16" s="224"/>
      <c r="DG16" s="224"/>
      <c r="DH16" s="224">
        <v>-12471638853</v>
      </c>
    </row>
    <row r="17" spans="1:112">
      <c r="A17" s="213" t="s">
        <v>295</v>
      </c>
      <c r="B17" s="224">
        <v>11016654074</v>
      </c>
      <c r="C17" s="224">
        <v>5408472034</v>
      </c>
      <c r="D17" s="224">
        <v>5408472034</v>
      </c>
      <c r="E17" s="224"/>
      <c r="F17" s="224">
        <v>5568182040</v>
      </c>
      <c r="G17" s="224">
        <v>5568182040</v>
      </c>
      <c r="H17" s="224"/>
      <c r="I17" s="224">
        <v>0</v>
      </c>
      <c r="J17" s="224"/>
      <c r="K17" s="224"/>
      <c r="L17" s="224">
        <v>40000000</v>
      </c>
      <c r="M17" s="224">
        <v>0</v>
      </c>
      <c r="N17" s="224">
        <v>40000000</v>
      </c>
      <c r="O17" s="224">
        <v>0</v>
      </c>
      <c r="P17" s="224">
        <v>0</v>
      </c>
      <c r="Q17" s="224">
        <v>0</v>
      </c>
      <c r="R17" s="224"/>
      <c r="S17" s="224">
        <v>0</v>
      </c>
      <c r="T17" s="224">
        <v>0</v>
      </c>
      <c r="U17" s="224"/>
      <c r="V17" s="224">
        <v>11016654074</v>
      </c>
      <c r="W17" s="224">
        <v>10067966819</v>
      </c>
      <c r="X17" s="224">
        <v>4881923313</v>
      </c>
      <c r="Y17" s="224">
        <v>4881923313</v>
      </c>
      <c r="Z17" s="224"/>
      <c r="AA17" s="224">
        <v>5182325324</v>
      </c>
      <c r="AB17" s="224">
        <v>5182325324</v>
      </c>
      <c r="AC17" s="224"/>
      <c r="AD17" s="224">
        <v>0</v>
      </c>
      <c r="AE17" s="224"/>
      <c r="AF17" s="224"/>
      <c r="AG17" s="224">
        <v>3718182</v>
      </c>
      <c r="AH17" s="224">
        <v>0</v>
      </c>
      <c r="AI17" s="224">
        <v>3718182</v>
      </c>
      <c r="AJ17" s="224">
        <v>0</v>
      </c>
      <c r="AK17" s="224">
        <v>948687255</v>
      </c>
      <c r="AL17" s="224">
        <v>526548721</v>
      </c>
      <c r="AM17" s="224">
        <v>385856716</v>
      </c>
      <c r="AN17" s="224">
        <v>0</v>
      </c>
      <c r="AO17" s="224">
        <v>36281818</v>
      </c>
      <c r="AP17" s="224">
        <v>0</v>
      </c>
      <c r="AQ17" s="224">
        <v>40000000</v>
      </c>
      <c r="AR17" s="224">
        <v>-3718182</v>
      </c>
      <c r="AS17" s="224">
        <v>0</v>
      </c>
      <c r="AT17" s="224">
        <v>5470427080</v>
      </c>
      <c r="AU17" s="224">
        <v>20973983</v>
      </c>
      <c r="AV17" s="224">
        <v>562601667</v>
      </c>
      <c r="AW17" s="224">
        <v>562601667</v>
      </c>
      <c r="AX17" s="224"/>
      <c r="AY17" s="224"/>
      <c r="AZ17" s="224"/>
      <c r="BA17" s="247"/>
      <c r="BB17" s="247"/>
      <c r="BC17" s="224">
        <v>0</v>
      </c>
      <c r="BD17" s="224"/>
      <c r="BE17" s="224"/>
      <c r="BF17" s="224"/>
      <c r="BG17" s="224">
        <v>4886851430</v>
      </c>
      <c r="BH17" s="224">
        <v>0</v>
      </c>
      <c r="BI17" s="224">
        <v>0</v>
      </c>
      <c r="BJ17" s="224"/>
      <c r="BK17" s="224"/>
      <c r="BL17" s="224"/>
      <c r="BM17" s="224"/>
      <c r="BN17" s="224">
        <v>0</v>
      </c>
      <c r="BO17" s="224"/>
      <c r="BP17" s="224"/>
      <c r="BQ17" s="224"/>
      <c r="BR17" s="224"/>
      <c r="BS17" s="224"/>
      <c r="BT17" s="224"/>
      <c r="BU17" s="224"/>
      <c r="BV17" s="224"/>
      <c r="BW17" s="224"/>
      <c r="BX17" s="224"/>
      <c r="BY17" s="224">
        <v>0</v>
      </c>
      <c r="BZ17" s="224">
        <v>1331348023</v>
      </c>
      <c r="CA17" s="224">
        <v>747176000</v>
      </c>
      <c r="CB17" s="224">
        <v>115500000</v>
      </c>
      <c r="CC17" s="224">
        <v>6385950</v>
      </c>
      <c r="CD17" s="224">
        <v>12132727</v>
      </c>
      <c r="CE17" s="224">
        <v>6363126</v>
      </c>
      <c r="CF17" s="224">
        <v>0</v>
      </c>
      <c r="CG17" s="224">
        <v>14887671</v>
      </c>
      <c r="CH17" s="224">
        <v>140374</v>
      </c>
      <c r="CI17" s="224">
        <v>6883594</v>
      </c>
      <c r="CJ17" s="224">
        <v>4923781</v>
      </c>
      <c r="CK17" s="224">
        <v>173439630</v>
      </c>
      <c r="CL17" s="224">
        <v>3090000</v>
      </c>
      <c r="CM17" s="224">
        <v>39147700</v>
      </c>
      <c r="CN17" s="224">
        <v>21852886</v>
      </c>
      <c r="CO17" s="224">
        <v>0</v>
      </c>
      <c r="CP17" s="224">
        <v>8183193</v>
      </c>
      <c r="CQ17" s="224">
        <v>13550000</v>
      </c>
      <c r="CR17" s="224">
        <v>64994641</v>
      </c>
      <c r="CS17" s="224">
        <v>13200000</v>
      </c>
      <c r="CT17" s="224">
        <v>0</v>
      </c>
      <c r="CU17" s="224">
        <v>68750000</v>
      </c>
      <c r="CV17" s="224">
        <v>10746750</v>
      </c>
      <c r="CW17" s="224">
        <v>0</v>
      </c>
      <c r="CX17" s="224">
        <v>0</v>
      </c>
      <c r="CY17" s="224"/>
      <c r="CZ17" s="224">
        <v>0</v>
      </c>
      <c r="DA17" s="224">
        <v>5087766312</v>
      </c>
      <c r="DB17" s="224">
        <v>0</v>
      </c>
      <c r="DC17" s="224">
        <v>4336600</v>
      </c>
      <c r="DD17" s="224">
        <v>-4336600</v>
      </c>
      <c r="DE17" s="224">
        <v>5083429712</v>
      </c>
      <c r="DF17" s="224"/>
      <c r="DG17" s="224"/>
      <c r="DH17" s="224">
        <v>5083429712</v>
      </c>
    </row>
    <row r="18" spans="1:112">
      <c r="A18" s="213" t="s">
        <v>296</v>
      </c>
      <c r="B18" s="224">
        <v>11810186322</v>
      </c>
      <c r="C18" s="224">
        <v>6016204962</v>
      </c>
      <c r="D18" s="224">
        <v>6016204962</v>
      </c>
      <c r="E18" s="224"/>
      <c r="F18" s="224">
        <v>5763981360</v>
      </c>
      <c r="G18" s="224">
        <v>5763981360</v>
      </c>
      <c r="H18" s="224"/>
      <c r="I18" s="224">
        <v>0</v>
      </c>
      <c r="J18" s="224"/>
      <c r="K18" s="224"/>
      <c r="L18" s="224">
        <v>30000000</v>
      </c>
      <c r="M18" s="224">
        <v>0</v>
      </c>
      <c r="N18" s="224">
        <v>30000000</v>
      </c>
      <c r="O18" s="224">
        <v>0</v>
      </c>
      <c r="P18" s="224">
        <v>0</v>
      </c>
      <c r="Q18" s="224">
        <v>1100931</v>
      </c>
      <c r="R18" s="224"/>
      <c r="S18" s="224">
        <v>0</v>
      </c>
      <c r="T18" s="224">
        <v>1100931</v>
      </c>
      <c r="U18" s="224"/>
      <c r="V18" s="224">
        <v>11809085391</v>
      </c>
      <c r="W18" s="224">
        <v>10787121764</v>
      </c>
      <c r="X18" s="224">
        <v>5436790975</v>
      </c>
      <c r="Y18" s="224">
        <v>5436790975</v>
      </c>
      <c r="Z18" s="224"/>
      <c r="AA18" s="224">
        <v>5346612607</v>
      </c>
      <c r="AB18" s="224">
        <v>5346612607</v>
      </c>
      <c r="AC18" s="224"/>
      <c r="AD18" s="224">
        <v>0</v>
      </c>
      <c r="AE18" s="224"/>
      <c r="AF18" s="224"/>
      <c r="AG18" s="224">
        <v>3718182</v>
      </c>
      <c r="AH18" s="224">
        <v>0</v>
      </c>
      <c r="AI18" s="224">
        <v>3718182</v>
      </c>
      <c r="AJ18" s="224">
        <v>0</v>
      </c>
      <c r="AK18" s="224">
        <v>1021963627</v>
      </c>
      <c r="AL18" s="224">
        <v>578313056</v>
      </c>
      <c r="AM18" s="224">
        <v>417368753</v>
      </c>
      <c r="AN18" s="224">
        <v>0</v>
      </c>
      <c r="AO18" s="224">
        <v>26281818</v>
      </c>
      <c r="AP18" s="224">
        <v>0</v>
      </c>
      <c r="AQ18" s="224">
        <v>30000000</v>
      </c>
      <c r="AR18" s="224">
        <v>-3718182</v>
      </c>
      <c r="AS18" s="224">
        <v>0</v>
      </c>
      <c r="AT18" s="224">
        <v>649316118</v>
      </c>
      <c r="AU18" s="224">
        <v>67961063</v>
      </c>
      <c r="AV18" s="224">
        <v>581355055</v>
      </c>
      <c r="AW18" s="224">
        <v>581355055</v>
      </c>
      <c r="AX18" s="224"/>
      <c r="AY18" s="224"/>
      <c r="AZ18" s="224"/>
      <c r="BA18" s="247"/>
      <c r="BB18" s="247"/>
      <c r="BC18" s="224">
        <v>0</v>
      </c>
      <c r="BD18" s="224"/>
      <c r="BE18" s="224"/>
      <c r="BF18" s="224"/>
      <c r="BG18" s="224">
        <v>0</v>
      </c>
      <c r="BH18" s="224">
        <v>0</v>
      </c>
      <c r="BI18" s="224">
        <v>0</v>
      </c>
      <c r="BJ18" s="224"/>
      <c r="BK18" s="224"/>
      <c r="BL18" s="224"/>
      <c r="BM18" s="224"/>
      <c r="BN18" s="224">
        <v>0</v>
      </c>
      <c r="BO18" s="224"/>
      <c r="BP18" s="224"/>
      <c r="BQ18" s="224"/>
      <c r="BR18" s="224"/>
      <c r="BS18" s="224"/>
      <c r="BT18" s="224"/>
      <c r="BU18" s="224"/>
      <c r="BV18" s="224"/>
      <c r="BW18" s="224"/>
      <c r="BX18" s="224">
        <v>0</v>
      </c>
      <c r="BY18" s="224">
        <v>6000000</v>
      </c>
      <c r="BZ18" s="224">
        <v>1195149402</v>
      </c>
      <c r="CA18" s="224">
        <v>702180250</v>
      </c>
      <c r="CB18" s="224">
        <v>99500000</v>
      </c>
      <c r="CC18" s="224">
        <v>6385948</v>
      </c>
      <c r="CD18" s="224">
        <v>12132727</v>
      </c>
      <c r="CE18" s="224">
        <v>4241462</v>
      </c>
      <c r="CF18" s="224">
        <v>2732500</v>
      </c>
      <c r="CG18" s="224">
        <v>1453375</v>
      </c>
      <c r="CH18" s="224">
        <v>151029</v>
      </c>
      <c r="CI18" s="224">
        <v>7833594</v>
      </c>
      <c r="CJ18" s="224">
        <v>5588935</v>
      </c>
      <c r="CK18" s="224">
        <v>173439630</v>
      </c>
      <c r="CL18" s="224">
        <v>3090000</v>
      </c>
      <c r="CM18" s="224">
        <v>2371200</v>
      </c>
      <c r="CN18" s="224">
        <v>26357244</v>
      </c>
      <c r="CO18" s="224">
        <v>0</v>
      </c>
      <c r="CP18" s="224">
        <v>0</v>
      </c>
      <c r="CQ18" s="224">
        <v>14450000</v>
      </c>
      <c r="CR18" s="224">
        <v>30584030</v>
      </c>
      <c r="CS18" s="224">
        <v>10500000</v>
      </c>
      <c r="CT18" s="224">
        <v>0</v>
      </c>
      <c r="CU18" s="224">
        <v>80750000</v>
      </c>
      <c r="CV18" s="224">
        <v>11407478</v>
      </c>
      <c r="CW18" s="224">
        <v>0</v>
      </c>
      <c r="CX18" s="224">
        <v>0</v>
      </c>
      <c r="CY18" s="224"/>
      <c r="CZ18" s="224">
        <v>0</v>
      </c>
      <c r="DA18" s="224">
        <v>470130343</v>
      </c>
      <c r="DB18" s="224">
        <v>0</v>
      </c>
      <c r="DC18" s="224">
        <v>430415</v>
      </c>
      <c r="DD18" s="224">
        <v>-430415</v>
      </c>
      <c r="DE18" s="224">
        <v>469699928</v>
      </c>
      <c r="DF18" s="224"/>
      <c r="DG18" s="224"/>
      <c r="DH18" s="224">
        <v>469699928</v>
      </c>
    </row>
    <row r="19" spans="1:112">
      <c r="A19" s="213" t="s">
        <v>297</v>
      </c>
      <c r="B19" s="224">
        <v>10390531914</v>
      </c>
      <c r="C19" s="224">
        <v>4801915961</v>
      </c>
      <c r="D19" s="224">
        <v>4801915961</v>
      </c>
      <c r="E19" s="224"/>
      <c r="F19" s="224">
        <v>5407600440</v>
      </c>
      <c r="G19" s="224">
        <v>5407600440</v>
      </c>
      <c r="H19" s="224"/>
      <c r="I19" s="224">
        <v>0</v>
      </c>
      <c r="J19" s="224"/>
      <c r="K19" s="224"/>
      <c r="L19" s="224">
        <v>181015513</v>
      </c>
      <c r="M19" s="224">
        <v>0</v>
      </c>
      <c r="N19" s="224">
        <v>90000000</v>
      </c>
      <c r="O19" s="224">
        <v>91015513</v>
      </c>
      <c r="P19" s="224">
        <v>0</v>
      </c>
      <c r="Q19" s="224">
        <v>0</v>
      </c>
      <c r="R19" s="224"/>
      <c r="S19" s="224">
        <v>0</v>
      </c>
      <c r="T19" s="224">
        <v>0</v>
      </c>
      <c r="U19" s="224"/>
      <c r="V19" s="224">
        <v>10390531914</v>
      </c>
      <c r="W19" s="224">
        <v>9327814791</v>
      </c>
      <c r="X19" s="224">
        <v>4340558601</v>
      </c>
      <c r="Y19" s="224">
        <v>4340558601</v>
      </c>
      <c r="Z19" s="224"/>
      <c r="AA19" s="224">
        <v>4983538008</v>
      </c>
      <c r="AB19" s="224">
        <v>4983538008</v>
      </c>
      <c r="AC19" s="224"/>
      <c r="AD19" s="224">
        <v>0</v>
      </c>
      <c r="AE19" s="224"/>
      <c r="AF19" s="224"/>
      <c r="AG19" s="224">
        <v>3718182</v>
      </c>
      <c r="AH19" s="224">
        <v>0</v>
      </c>
      <c r="AI19" s="224">
        <v>3718182</v>
      </c>
      <c r="AJ19" s="224">
        <v>0</v>
      </c>
      <c r="AK19" s="224">
        <v>1062717123</v>
      </c>
      <c r="AL19" s="224">
        <v>461357360</v>
      </c>
      <c r="AM19" s="224">
        <v>424062432</v>
      </c>
      <c r="AN19" s="224">
        <v>0</v>
      </c>
      <c r="AO19" s="224">
        <v>177297331</v>
      </c>
      <c r="AP19" s="224">
        <v>0</v>
      </c>
      <c r="AQ19" s="224">
        <v>90000000</v>
      </c>
      <c r="AR19" s="224">
        <v>87297331</v>
      </c>
      <c r="AS19" s="224">
        <v>0</v>
      </c>
      <c r="AT19" s="224">
        <v>6979832739</v>
      </c>
      <c r="AU19" s="224">
        <v>1754280463</v>
      </c>
      <c r="AV19" s="224">
        <v>5225552276</v>
      </c>
      <c r="AW19" s="224">
        <v>562601667</v>
      </c>
      <c r="AX19" s="224">
        <v>787380834</v>
      </c>
      <c r="AY19" s="224">
        <v>3668513889</v>
      </c>
      <c r="AZ19" s="224">
        <v>200333664</v>
      </c>
      <c r="BA19" s="247">
        <v>6722222</v>
      </c>
      <c r="BB19" s="247"/>
      <c r="BC19" s="224">
        <v>0</v>
      </c>
      <c r="BD19" s="224"/>
      <c r="BE19" s="224"/>
      <c r="BF19" s="224"/>
      <c r="BG19" s="224">
        <v>0</v>
      </c>
      <c r="BH19" s="224">
        <v>4544357873</v>
      </c>
      <c r="BI19" s="224">
        <v>0</v>
      </c>
      <c r="BJ19" s="224"/>
      <c r="BK19" s="224"/>
      <c r="BL19" s="224"/>
      <c r="BM19" s="224"/>
      <c r="BN19" s="224">
        <v>4544357873</v>
      </c>
      <c r="BO19" s="224">
        <v>4757409600</v>
      </c>
      <c r="BP19" s="224">
        <v>-2179777353</v>
      </c>
      <c r="BQ19" s="224">
        <v>1966725626</v>
      </c>
      <c r="BR19" s="224"/>
      <c r="BS19" s="224"/>
      <c r="BT19" s="224"/>
      <c r="BU19" s="224"/>
      <c r="BV19" s="224"/>
      <c r="BW19" s="224"/>
      <c r="BX19" s="224">
        <v>0</v>
      </c>
      <c r="BY19" s="224">
        <v>0</v>
      </c>
      <c r="BZ19" s="224">
        <v>1845284034</v>
      </c>
      <c r="CA19" s="224">
        <v>647241600</v>
      </c>
      <c r="CB19" s="224">
        <v>109722200</v>
      </c>
      <c r="CC19" s="224">
        <v>5787465</v>
      </c>
      <c r="CD19" s="224">
        <v>12132727</v>
      </c>
      <c r="CE19" s="224">
        <v>1172118</v>
      </c>
      <c r="CF19" s="224">
        <v>2655200</v>
      </c>
      <c r="CG19" s="224">
        <v>2798000</v>
      </c>
      <c r="CH19" s="224">
        <v>150029</v>
      </c>
      <c r="CI19" s="224">
        <v>7500737</v>
      </c>
      <c r="CJ19" s="224">
        <v>6471287</v>
      </c>
      <c r="CK19" s="224">
        <v>173439630</v>
      </c>
      <c r="CL19" s="224">
        <v>3090000</v>
      </c>
      <c r="CM19" s="224">
        <v>-1333935</v>
      </c>
      <c r="CN19" s="224">
        <v>25353339</v>
      </c>
      <c r="CO19" s="224">
        <v>210000000</v>
      </c>
      <c r="CP19" s="224">
        <v>13440814</v>
      </c>
      <c r="CQ19" s="224">
        <v>15770000</v>
      </c>
      <c r="CR19" s="224">
        <v>61620791</v>
      </c>
      <c r="CS19" s="224">
        <v>66551312</v>
      </c>
      <c r="CT19" s="224">
        <v>0</v>
      </c>
      <c r="CU19" s="224">
        <v>68750000</v>
      </c>
      <c r="CV19" s="224">
        <v>12970720</v>
      </c>
      <c r="CW19" s="224">
        <v>400000000</v>
      </c>
      <c r="CX19" s="224">
        <v>0</v>
      </c>
      <c r="CY19" s="224"/>
      <c r="CZ19" s="224">
        <v>0</v>
      </c>
      <c r="DA19" s="224">
        <v>1652907955</v>
      </c>
      <c r="DB19" s="224">
        <v>0</v>
      </c>
      <c r="DC19" s="224">
        <v>253362821</v>
      </c>
      <c r="DD19" s="224">
        <v>-253362821</v>
      </c>
      <c r="DE19" s="224">
        <v>1399545134</v>
      </c>
      <c r="DF19" s="224"/>
      <c r="DG19" s="224"/>
      <c r="DH19" s="224">
        <v>1399545134</v>
      </c>
    </row>
    <row r="20" spans="1:112">
      <c r="A20" s="213" t="s">
        <v>298</v>
      </c>
      <c r="B20" s="224">
        <v>41024125459</v>
      </c>
      <c r="C20" s="224">
        <v>6176217612</v>
      </c>
      <c r="D20" s="224">
        <v>5841597612</v>
      </c>
      <c r="E20" s="224">
        <v>334620000</v>
      </c>
      <c r="F20" s="224">
        <v>34827907847</v>
      </c>
      <c r="G20" s="224">
        <v>5334000711</v>
      </c>
      <c r="H20" s="224">
        <v>29493907136</v>
      </c>
      <c r="I20" s="224">
        <v>0</v>
      </c>
      <c r="J20" s="224"/>
      <c r="K20" s="224"/>
      <c r="L20" s="224">
        <v>20000000</v>
      </c>
      <c r="M20" s="224">
        <v>0</v>
      </c>
      <c r="N20" s="224">
        <v>20000000</v>
      </c>
      <c r="O20" s="224">
        <v>0</v>
      </c>
      <c r="P20" s="224">
        <v>0</v>
      </c>
      <c r="Q20" s="224">
        <v>0</v>
      </c>
      <c r="R20" s="224"/>
      <c r="S20" s="224">
        <v>0</v>
      </c>
      <c r="T20" s="224">
        <v>0</v>
      </c>
      <c r="U20" s="224"/>
      <c r="V20" s="224">
        <v>41024125459</v>
      </c>
      <c r="W20" s="224">
        <v>37875065022</v>
      </c>
      <c r="X20" s="224">
        <v>5575131561</v>
      </c>
      <c r="Y20" s="224">
        <v>5270931561</v>
      </c>
      <c r="Z20" s="224">
        <v>304200000</v>
      </c>
      <c r="AA20" s="224">
        <v>32296215279</v>
      </c>
      <c r="AB20" s="224">
        <v>4920500399</v>
      </c>
      <c r="AC20" s="224">
        <v>27375714880</v>
      </c>
      <c r="AD20" s="224">
        <v>0</v>
      </c>
      <c r="AE20" s="224"/>
      <c r="AF20" s="224"/>
      <c r="AG20" s="224">
        <v>3718182</v>
      </c>
      <c r="AH20" s="224">
        <v>0</v>
      </c>
      <c r="AI20" s="224">
        <v>3718182</v>
      </c>
      <c r="AJ20" s="224">
        <v>0</v>
      </c>
      <c r="AK20" s="224">
        <v>3149060437</v>
      </c>
      <c r="AL20" s="224">
        <v>601086051</v>
      </c>
      <c r="AM20" s="224">
        <v>2531692568</v>
      </c>
      <c r="AN20" s="224">
        <v>0</v>
      </c>
      <c r="AO20" s="224">
        <v>16281818</v>
      </c>
      <c r="AP20" s="224">
        <v>0</v>
      </c>
      <c r="AQ20" s="224">
        <v>20000000</v>
      </c>
      <c r="AR20" s="224">
        <v>-3718182</v>
      </c>
      <c r="AS20" s="224">
        <v>0</v>
      </c>
      <c r="AT20" s="224">
        <v>582617569</v>
      </c>
      <c r="AU20" s="224">
        <v>1262514</v>
      </c>
      <c r="AV20" s="224">
        <v>581355055</v>
      </c>
      <c r="AW20" s="224">
        <v>581355055</v>
      </c>
      <c r="AX20" s="224"/>
      <c r="AY20" s="224"/>
      <c r="AZ20" s="224"/>
      <c r="BA20" s="247"/>
      <c r="BB20" s="247"/>
      <c r="BC20" s="224">
        <v>0</v>
      </c>
      <c r="BD20" s="224"/>
      <c r="BE20" s="224"/>
      <c r="BF20" s="224"/>
      <c r="BG20" s="224">
        <v>0</v>
      </c>
      <c r="BH20" s="224">
        <v>0</v>
      </c>
      <c r="BI20" s="224">
        <v>0</v>
      </c>
      <c r="BJ20" s="224"/>
      <c r="BK20" s="224"/>
      <c r="BL20" s="224"/>
      <c r="BM20" s="224"/>
      <c r="BN20" s="224">
        <v>0</v>
      </c>
      <c r="BO20" s="224"/>
      <c r="BP20" s="224"/>
      <c r="BQ20" s="224"/>
      <c r="BR20" s="224"/>
      <c r="BS20" s="224"/>
      <c r="BT20" s="224"/>
      <c r="BU20" s="224"/>
      <c r="BV20" s="224"/>
      <c r="BW20" s="224"/>
      <c r="BX20" s="224">
        <v>0</v>
      </c>
      <c r="BY20" s="224">
        <v>12000000</v>
      </c>
      <c r="BZ20" s="224">
        <v>1211812013</v>
      </c>
      <c r="CA20" s="224">
        <v>635611200</v>
      </c>
      <c r="CB20" s="224">
        <v>102500000</v>
      </c>
      <c r="CC20" s="224">
        <v>19979916</v>
      </c>
      <c r="CD20" s="224">
        <v>12132727</v>
      </c>
      <c r="CE20" s="224">
        <v>1236245</v>
      </c>
      <c r="CF20" s="224">
        <v>2018000</v>
      </c>
      <c r="CG20" s="224">
        <v>1293750</v>
      </c>
      <c r="CH20" s="224">
        <v>127206</v>
      </c>
      <c r="CI20" s="224">
        <v>6960737</v>
      </c>
      <c r="CJ20" s="224">
        <v>5763095</v>
      </c>
      <c r="CK20" s="224">
        <v>173439630</v>
      </c>
      <c r="CL20" s="224">
        <v>3090000</v>
      </c>
      <c r="CM20" s="224">
        <v>2371200</v>
      </c>
      <c r="CN20" s="224">
        <v>42437139</v>
      </c>
      <c r="CO20" s="224">
        <v>0</v>
      </c>
      <c r="CP20" s="224">
        <v>21027057</v>
      </c>
      <c r="CQ20" s="224">
        <v>15680000</v>
      </c>
      <c r="CR20" s="224">
        <v>42375065</v>
      </c>
      <c r="CS20" s="224">
        <v>9970173</v>
      </c>
      <c r="CT20" s="224">
        <v>32960000</v>
      </c>
      <c r="CU20" s="224">
        <v>68750000</v>
      </c>
      <c r="CV20" s="224">
        <v>12088873</v>
      </c>
      <c r="CW20" s="224">
        <v>0</v>
      </c>
      <c r="CX20" s="224">
        <v>0</v>
      </c>
      <c r="CY20" s="224"/>
      <c r="CZ20" s="224">
        <v>0</v>
      </c>
      <c r="DA20" s="224">
        <v>2507865993</v>
      </c>
      <c r="DB20" s="224">
        <v>0</v>
      </c>
      <c r="DC20" s="224">
        <v>67678101</v>
      </c>
      <c r="DD20" s="224">
        <v>-67678101</v>
      </c>
      <c r="DE20" s="224">
        <v>2440187892</v>
      </c>
      <c r="DF20" s="224"/>
      <c r="DG20" s="224"/>
      <c r="DH20" s="224">
        <v>2440187892</v>
      </c>
    </row>
    <row r="21" spans="1:112">
      <c r="A21" s="213" t="s">
        <v>299</v>
      </c>
      <c r="B21" s="224">
        <v>73871522687</v>
      </c>
      <c r="C21" s="224">
        <v>9149002663</v>
      </c>
      <c r="D21" s="224">
        <v>7855386163</v>
      </c>
      <c r="E21" s="224">
        <v>1293616500</v>
      </c>
      <c r="F21" s="224">
        <v>64702520024</v>
      </c>
      <c r="G21" s="224">
        <v>5800635116</v>
      </c>
      <c r="H21" s="224">
        <v>58901884908</v>
      </c>
      <c r="I21" s="224">
        <v>0</v>
      </c>
      <c r="J21" s="224"/>
      <c r="K21" s="224"/>
      <c r="L21" s="224">
        <v>20000000</v>
      </c>
      <c r="M21" s="224">
        <v>0</v>
      </c>
      <c r="N21" s="224">
        <v>20000000</v>
      </c>
      <c r="O21" s="224">
        <v>0</v>
      </c>
      <c r="P21" s="224">
        <v>0</v>
      </c>
      <c r="Q21" s="224">
        <v>0</v>
      </c>
      <c r="R21" s="224"/>
      <c r="S21" s="224">
        <v>0</v>
      </c>
      <c r="T21" s="224">
        <v>0</v>
      </c>
      <c r="U21" s="224"/>
      <c r="V21" s="224">
        <v>73871522687</v>
      </c>
      <c r="W21" s="224">
        <v>68586055201</v>
      </c>
      <c r="X21" s="224">
        <v>8264495546</v>
      </c>
      <c r="Y21" s="224">
        <v>7088480546</v>
      </c>
      <c r="Z21" s="224">
        <v>1176015000</v>
      </c>
      <c r="AA21" s="224">
        <v>60317841473</v>
      </c>
      <c r="AB21" s="224">
        <v>5367856213</v>
      </c>
      <c r="AC21" s="224">
        <v>54949985260</v>
      </c>
      <c r="AD21" s="224">
        <v>0</v>
      </c>
      <c r="AE21" s="224"/>
      <c r="AF21" s="224"/>
      <c r="AG21" s="224">
        <v>3718182</v>
      </c>
      <c r="AH21" s="224">
        <v>0</v>
      </c>
      <c r="AI21" s="224">
        <v>3718182</v>
      </c>
      <c r="AJ21" s="224">
        <v>0</v>
      </c>
      <c r="AK21" s="224">
        <v>5285467486</v>
      </c>
      <c r="AL21" s="224">
        <v>884507117</v>
      </c>
      <c r="AM21" s="224">
        <v>4384678551</v>
      </c>
      <c r="AN21" s="224">
        <v>0</v>
      </c>
      <c r="AO21" s="224">
        <v>16281818</v>
      </c>
      <c r="AP21" s="224">
        <v>0</v>
      </c>
      <c r="AQ21" s="224">
        <v>20000000</v>
      </c>
      <c r="AR21" s="224">
        <v>-3718182</v>
      </c>
      <c r="AS21" s="224">
        <v>0</v>
      </c>
      <c r="AT21" s="224">
        <v>583377890</v>
      </c>
      <c r="AU21" s="224">
        <v>2022835</v>
      </c>
      <c r="AV21" s="224">
        <v>581355055</v>
      </c>
      <c r="AW21" s="224">
        <v>581355055</v>
      </c>
      <c r="AX21" s="224"/>
      <c r="AY21" s="224"/>
      <c r="AZ21" s="224"/>
      <c r="BA21" s="247"/>
      <c r="BB21" s="247"/>
      <c r="BC21" s="224">
        <v>0</v>
      </c>
      <c r="BD21" s="224"/>
      <c r="BE21" s="224"/>
      <c r="BF21" s="224"/>
      <c r="BG21" s="224">
        <v>0</v>
      </c>
      <c r="BH21" s="224">
        <v>0</v>
      </c>
      <c r="BI21" s="224">
        <v>0</v>
      </c>
      <c r="BJ21" s="224"/>
      <c r="BK21" s="224"/>
      <c r="BL21" s="224"/>
      <c r="BM21" s="224"/>
      <c r="BN21" s="224">
        <v>0</v>
      </c>
      <c r="BO21" s="224"/>
      <c r="BP21" s="224"/>
      <c r="BQ21" s="224"/>
      <c r="BR21" s="224"/>
      <c r="BS21" s="224"/>
      <c r="BT21" s="224"/>
      <c r="BU21" s="224"/>
      <c r="BV21" s="224"/>
      <c r="BW21" s="224"/>
      <c r="BX21" s="224">
        <v>0</v>
      </c>
      <c r="BY21" s="224">
        <v>0</v>
      </c>
      <c r="BZ21" s="224">
        <v>1213785902</v>
      </c>
      <c r="CA21" s="224">
        <v>673241600</v>
      </c>
      <c r="CB21" s="224">
        <v>131277777</v>
      </c>
      <c r="CC21" s="224">
        <v>7457747</v>
      </c>
      <c r="CD21" s="224">
        <v>12132727</v>
      </c>
      <c r="CE21" s="224">
        <v>1417678</v>
      </c>
      <c r="CF21" s="224">
        <v>2084500</v>
      </c>
      <c r="CG21" s="224">
        <v>2967875</v>
      </c>
      <c r="CH21" s="224">
        <v>178452</v>
      </c>
      <c r="CI21" s="224">
        <v>6960737</v>
      </c>
      <c r="CJ21" s="224">
        <v>5627689</v>
      </c>
      <c r="CK21" s="224">
        <v>173439630</v>
      </c>
      <c r="CL21" s="224">
        <v>3090000</v>
      </c>
      <c r="CM21" s="224">
        <v>0</v>
      </c>
      <c r="CN21" s="224">
        <v>27204760</v>
      </c>
      <c r="CO21" s="224">
        <v>0</v>
      </c>
      <c r="CP21" s="224">
        <v>0</v>
      </c>
      <c r="CQ21" s="224">
        <v>15510000</v>
      </c>
      <c r="CR21" s="224">
        <v>66991526</v>
      </c>
      <c r="CS21" s="224">
        <v>0</v>
      </c>
      <c r="CT21" s="224">
        <v>0</v>
      </c>
      <c r="CU21" s="224">
        <v>68750000</v>
      </c>
      <c r="CV21" s="224">
        <v>12033204</v>
      </c>
      <c r="CW21" s="224">
        <v>0</v>
      </c>
      <c r="CX21" s="224">
        <v>3420000</v>
      </c>
      <c r="CY21" s="224"/>
      <c r="CZ21" s="224">
        <v>0</v>
      </c>
      <c r="DA21" s="224">
        <v>4655059474</v>
      </c>
      <c r="DB21" s="224">
        <v>0</v>
      </c>
      <c r="DC21" s="224">
        <v>68199391</v>
      </c>
      <c r="DD21" s="224">
        <v>-68199391</v>
      </c>
      <c r="DE21" s="224">
        <v>4586860083</v>
      </c>
      <c r="DF21" s="224"/>
      <c r="DG21" s="224"/>
      <c r="DH21" s="224">
        <v>4586860083</v>
      </c>
    </row>
    <row r="22" spans="1:112">
      <c r="A22" s="213" t="s">
        <v>300</v>
      </c>
      <c r="B22" s="224">
        <v>80278102476</v>
      </c>
      <c r="C22" s="224">
        <v>7924417131</v>
      </c>
      <c r="D22" s="224">
        <v>6035707231</v>
      </c>
      <c r="E22" s="224">
        <v>1888709900</v>
      </c>
      <c r="F22" s="224">
        <v>72239489139</v>
      </c>
      <c r="G22" s="224">
        <v>4480430840</v>
      </c>
      <c r="H22" s="224">
        <v>67759058299</v>
      </c>
      <c r="I22" s="224">
        <v>0</v>
      </c>
      <c r="J22" s="224"/>
      <c r="K22" s="224"/>
      <c r="L22" s="224">
        <v>114196206</v>
      </c>
      <c r="M22" s="224">
        <v>0</v>
      </c>
      <c r="N22" s="224">
        <v>20000000</v>
      </c>
      <c r="O22" s="224">
        <v>94196206</v>
      </c>
      <c r="P22" s="224">
        <v>0</v>
      </c>
      <c r="Q22" s="224">
        <v>0</v>
      </c>
      <c r="R22" s="224"/>
      <c r="S22" s="224">
        <v>0</v>
      </c>
      <c r="T22" s="224">
        <v>0</v>
      </c>
      <c r="U22" s="224"/>
      <c r="V22" s="224">
        <v>80278102476</v>
      </c>
      <c r="W22" s="224">
        <v>74638812097</v>
      </c>
      <c r="X22" s="224">
        <v>7169507126</v>
      </c>
      <c r="Y22" s="224">
        <v>5452498126</v>
      </c>
      <c r="Z22" s="224">
        <v>1717009000</v>
      </c>
      <c r="AA22" s="224">
        <v>67462076789</v>
      </c>
      <c r="AB22" s="224">
        <v>4099418489</v>
      </c>
      <c r="AC22" s="224">
        <v>63362658300</v>
      </c>
      <c r="AD22" s="224">
        <v>0</v>
      </c>
      <c r="AE22" s="224"/>
      <c r="AF22" s="224"/>
      <c r="AG22" s="224">
        <v>7228182</v>
      </c>
      <c r="AH22" s="224">
        <v>0</v>
      </c>
      <c r="AI22" s="224">
        <v>7228182</v>
      </c>
      <c r="AJ22" s="224">
        <v>0</v>
      </c>
      <c r="AK22" s="224">
        <v>5639290379</v>
      </c>
      <c r="AL22" s="224">
        <v>754910005</v>
      </c>
      <c r="AM22" s="224">
        <v>4777412350</v>
      </c>
      <c r="AN22" s="224">
        <v>0</v>
      </c>
      <c r="AO22" s="224">
        <v>106968024</v>
      </c>
      <c r="AP22" s="224">
        <v>0</v>
      </c>
      <c r="AQ22" s="224">
        <v>20000000</v>
      </c>
      <c r="AR22" s="224">
        <v>86968024</v>
      </c>
      <c r="AS22" s="224">
        <v>0</v>
      </c>
      <c r="AT22" s="224">
        <v>7350977585</v>
      </c>
      <c r="AU22" s="224">
        <v>1812961342</v>
      </c>
      <c r="AV22" s="224">
        <v>5538016243</v>
      </c>
      <c r="AW22" s="224">
        <v>562601667</v>
      </c>
      <c r="AX22" s="224">
        <v>640532222</v>
      </c>
      <c r="AY22" s="224">
        <v>4105694444</v>
      </c>
      <c r="AZ22" s="224">
        <v>201076799</v>
      </c>
      <c r="BA22" s="247">
        <v>28111111</v>
      </c>
      <c r="BB22" s="247"/>
      <c r="BC22" s="224">
        <v>0</v>
      </c>
      <c r="BD22" s="224"/>
      <c r="BE22" s="224"/>
      <c r="BF22" s="224"/>
      <c r="BG22" s="224">
        <v>0</v>
      </c>
      <c r="BH22" s="224">
        <v>-852558849</v>
      </c>
      <c r="BI22" s="224">
        <v>0</v>
      </c>
      <c r="BJ22" s="224"/>
      <c r="BK22" s="224"/>
      <c r="BL22" s="224"/>
      <c r="BM22" s="224"/>
      <c r="BN22" s="224">
        <v>-852558849</v>
      </c>
      <c r="BO22" s="224">
        <v>-201252194</v>
      </c>
      <c r="BP22" s="224">
        <v>-2412226658</v>
      </c>
      <c r="BQ22" s="224">
        <v>1760920003</v>
      </c>
      <c r="BR22" s="224"/>
      <c r="BS22" s="224"/>
      <c r="BT22" s="224"/>
      <c r="BU22" s="224"/>
      <c r="BV22" s="224"/>
      <c r="BW22" s="224"/>
      <c r="BX22" s="224">
        <v>0</v>
      </c>
      <c r="BY22" s="224">
        <v>0</v>
      </c>
      <c r="BZ22" s="224">
        <v>1587165510</v>
      </c>
      <c r="CA22" s="224">
        <v>787223650</v>
      </c>
      <c r="CB22" s="224">
        <v>115277777</v>
      </c>
      <c r="CC22" s="224">
        <v>6542747</v>
      </c>
      <c r="CD22" s="224">
        <v>12132727</v>
      </c>
      <c r="CE22" s="224">
        <v>1384212</v>
      </c>
      <c r="CF22" s="224">
        <v>1412500</v>
      </c>
      <c r="CG22" s="224">
        <v>1434250</v>
      </c>
      <c r="CH22" s="224">
        <v>151007</v>
      </c>
      <c r="CI22" s="224">
        <v>17500737</v>
      </c>
      <c r="CJ22" s="224">
        <v>5262184</v>
      </c>
      <c r="CK22" s="224">
        <v>173439630</v>
      </c>
      <c r="CL22" s="224">
        <v>3090000</v>
      </c>
      <c r="CM22" s="224">
        <v>0</v>
      </c>
      <c r="CN22" s="224">
        <v>44836845</v>
      </c>
      <c r="CO22" s="224">
        <v>0</v>
      </c>
      <c r="CP22" s="224">
        <v>0</v>
      </c>
      <c r="CQ22" s="224">
        <v>15350000</v>
      </c>
      <c r="CR22" s="224">
        <v>118975923</v>
      </c>
      <c r="CS22" s="224">
        <v>0</v>
      </c>
      <c r="CT22" s="224">
        <v>0</v>
      </c>
      <c r="CU22" s="224">
        <v>68750000</v>
      </c>
      <c r="CV22" s="224">
        <v>11050321</v>
      </c>
      <c r="CW22" s="224">
        <v>203351000</v>
      </c>
      <c r="CX22" s="224">
        <v>0</v>
      </c>
      <c r="CY22" s="224"/>
      <c r="CZ22" s="224">
        <v>0</v>
      </c>
      <c r="DA22" s="224">
        <v>12255661303</v>
      </c>
      <c r="DB22" s="224">
        <v>294451</v>
      </c>
      <c r="DC22" s="224">
        <v>43110852</v>
      </c>
      <c r="DD22" s="224">
        <v>-42816401</v>
      </c>
      <c r="DE22" s="224">
        <v>12212844902</v>
      </c>
      <c r="DF22" s="224"/>
      <c r="DG22" s="224"/>
      <c r="DH22" s="224">
        <v>12212844902</v>
      </c>
    </row>
    <row r="23" spans="1:112">
      <c r="A23" s="213" t="s">
        <v>301</v>
      </c>
      <c r="B23" s="224">
        <v>11306829647</v>
      </c>
      <c r="C23" s="224">
        <v>8578469977</v>
      </c>
      <c r="D23" s="224">
        <v>8578469977</v>
      </c>
      <c r="E23" s="224"/>
      <c r="F23" s="224">
        <v>2718359670</v>
      </c>
      <c r="G23" s="224">
        <v>2707678470</v>
      </c>
      <c r="H23" s="224">
        <v>10681200</v>
      </c>
      <c r="I23" s="224">
        <v>0</v>
      </c>
      <c r="J23" s="224"/>
      <c r="K23" s="224"/>
      <c r="L23" s="224">
        <v>10000000</v>
      </c>
      <c r="M23" s="224">
        <v>0</v>
      </c>
      <c r="N23" s="224">
        <v>10000000</v>
      </c>
      <c r="O23" s="224">
        <v>0</v>
      </c>
      <c r="P23" s="224">
        <v>0</v>
      </c>
      <c r="Q23" s="224">
        <v>664848</v>
      </c>
      <c r="R23" s="224"/>
      <c r="S23" s="224">
        <v>0</v>
      </c>
      <c r="T23" s="224">
        <v>664848</v>
      </c>
      <c r="U23" s="224"/>
      <c r="V23" s="224">
        <v>11306164799</v>
      </c>
      <c r="W23" s="224">
        <v>10272549090</v>
      </c>
      <c r="X23" s="224">
        <v>7755543597</v>
      </c>
      <c r="Y23" s="224">
        <v>7755543597</v>
      </c>
      <c r="Z23" s="224"/>
      <c r="AA23" s="224">
        <v>2509777311</v>
      </c>
      <c r="AB23" s="224">
        <v>2500502911</v>
      </c>
      <c r="AC23" s="224">
        <v>9274400</v>
      </c>
      <c r="AD23" s="224">
        <v>0</v>
      </c>
      <c r="AE23" s="224"/>
      <c r="AF23" s="224"/>
      <c r="AG23" s="224">
        <v>7228182</v>
      </c>
      <c r="AH23" s="224">
        <v>0</v>
      </c>
      <c r="AI23" s="224">
        <v>7228182</v>
      </c>
      <c r="AJ23" s="224">
        <v>0</v>
      </c>
      <c r="AK23" s="224">
        <v>1033615709</v>
      </c>
      <c r="AL23" s="224">
        <v>822926380</v>
      </c>
      <c r="AM23" s="224">
        <v>207917511</v>
      </c>
      <c r="AN23" s="224">
        <v>0</v>
      </c>
      <c r="AO23" s="224">
        <v>2771818</v>
      </c>
      <c r="AP23" s="224">
        <v>0</v>
      </c>
      <c r="AQ23" s="224">
        <v>10000000</v>
      </c>
      <c r="AR23" s="224">
        <v>-7228182</v>
      </c>
      <c r="AS23" s="224">
        <v>0</v>
      </c>
      <c r="AT23" s="224">
        <v>649777174</v>
      </c>
      <c r="AU23" s="224">
        <v>68422119</v>
      </c>
      <c r="AV23" s="224">
        <v>581355055</v>
      </c>
      <c r="AW23" s="224">
        <v>581355055</v>
      </c>
      <c r="AX23" s="224"/>
      <c r="AY23" s="224"/>
      <c r="AZ23" s="224"/>
      <c r="BA23" s="247"/>
      <c r="BB23" s="247"/>
      <c r="BC23" s="224">
        <v>0</v>
      </c>
      <c r="BD23" s="224"/>
      <c r="BE23" s="224"/>
      <c r="BF23" s="224"/>
      <c r="BG23" s="224">
        <v>0</v>
      </c>
      <c r="BH23" s="224">
        <v>0</v>
      </c>
      <c r="BI23" s="224">
        <v>0</v>
      </c>
      <c r="BJ23" s="224"/>
      <c r="BK23" s="224"/>
      <c r="BL23" s="224"/>
      <c r="BM23" s="224"/>
      <c r="BN23" s="224">
        <v>0</v>
      </c>
      <c r="BO23" s="224"/>
      <c r="BP23" s="224"/>
      <c r="BQ23" s="224"/>
      <c r="BR23" s="224"/>
      <c r="BS23" s="224"/>
      <c r="BT23" s="224"/>
      <c r="BU23" s="224"/>
      <c r="BV23" s="224"/>
      <c r="BW23" s="224"/>
      <c r="BX23" s="224">
        <v>0</v>
      </c>
      <c r="BY23" s="224">
        <v>0</v>
      </c>
      <c r="BZ23" s="224">
        <v>1532311532</v>
      </c>
      <c r="CA23" s="224">
        <v>639327991</v>
      </c>
      <c r="CB23" s="224">
        <v>117777777</v>
      </c>
      <c r="CC23" s="224">
        <v>13252747</v>
      </c>
      <c r="CD23" s="224">
        <v>12132727</v>
      </c>
      <c r="CE23" s="224">
        <v>1712738</v>
      </c>
      <c r="CF23" s="224">
        <v>1599500</v>
      </c>
      <c r="CG23" s="224">
        <v>15996310</v>
      </c>
      <c r="CH23" s="224">
        <v>141432</v>
      </c>
      <c r="CI23" s="224">
        <v>11160737</v>
      </c>
      <c r="CJ23" s="224">
        <v>5074579</v>
      </c>
      <c r="CK23" s="224">
        <v>173439630</v>
      </c>
      <c r="CL23" s="224">
        <v>3090000</v>
      </c>
      <c r="CM23" s="224">
        <v>-3952000</v>
      </c>
      <c r="CN23" s="224">
        <v>31632281</v>
      </c>
      <c r="CO23" s="224">
        <v>0</v>
      </c>
      <c r="CP23" s="224">
        <v>0</v>
      </c>
      <c r="CQ23" s="224">
        <v>15000000</v>
      </c>
      <c r="CR23" s="224">
        <v>411537541</v>
      </c>
      <c r="CS23" s="224">
        <v>0</v>
      </c>
      <c r="CT23" s="224">
        <v>0</v>
      </c>
      <c r="CU23" s="224">
        <v>68750000</v>
      </c>
      <c r="CV23" s="224">
        <v>14637542</v>
      </c>
      <c r="CW23" s="224">
        <v>0</v>
      </c>
      <c r="CX23" s="224">
        <v>0</v>
      </c>
      <c r="CY23" s="224"/>
      <c r="CZ23" s="224">
        <v>0</v>
      </c>
      <c r="DA23" s="224">
        <v>151081351</v>
      </c>
      <c r="DB23" s="224">
        <v>0</v>
      </c>
      <c r="DC23" s="224">
        <v>-286722471</v>
      </c>
      <c r="DD23" s="224">
        <v>286722471</v>
      </c>
      <c r="DE23" s="224">
        <v>437803822</v>
      </c>
      <c r="DF23" s="224"/>
      <c r="DG23" s="224"/>
      <c r="DH23" s="224">
        <v>437803822</v>
      </c>
    </row>
    <row r="24" spans="1:112">
      <c r="A24" s="213" t="s">
        <v>302</v>
      </c>
      <c r="B24" s="224">
        <v>8531991581</v>
      </c>
      <c r="C24" s="224">
        <v>6649639235</v>
      </c>
      <c r="D24" s="224">
        <v>6649639235</v>
      </c>
      <c r="E24" s="224"/>
      <c r="F24" s="224">
        <v>1871237346</v>
      </c>
      <c r="G24" s="224">
        <v>1871237346</v>
      </c>
      <c r="H24" s="224"/>
      <c r="I24" s="224">
        <v>0</v>
      </c>
      <c r="J24" s="224"/>
      <c r="K24" s="224"/>
      <c r="L24" s="224">
        <v>0</v>
      </c>
      <c r="M24" s="224">
        <v>0</v>
      </c>
      <c r="N24" s="224">
        <v>0</v>
      </c>
      <c r="O24" s="224">
        <v>0</v>
      </c>
      <c r="P24" s="224">
        <v>11115000</v>
      </c>
      <c r="Q24" s="224">
        <v>0</v>
      </c>
      <c r="R24" s="224"/>
      <c r="S24" s="224">
        <v>0</v>
      </c>
      <c r="T24" s="224">
        <v>0</v>
      </c>
      <c r="U24" s="224"/>
      <c r="V24" s="224">
        <v>8531991581</v>
      </c>
      <c r="W24" s="224">
        <v>7756915117</v>
      </c>
      <c r="X24" s="224">
        <v>6002542391</v>
      </c>
      <c r="Y24" s="224">
        <v>6002542391</v>
      </c>
      <c r="Z24" s="224"/>
      <c r="AA24" s="224">
        <v>1736029544</v>
      </c>
      <c r="AB24" s="224">
        <v>1736029544</v>
      </c>
      <c r="AC24" s="224"/>
      <c r="AD24" s="224">
        <v>0</v>
      </c>
      <c r="AE24" s="224"/>
      <c r="AF24" s="224"/>
      <c r="AG24" s="224">
        <v>7228182</v>
      </c>
      <c r="AH24" s="224">
        <v>0</v>
      </c>
      <c r="AI24" s="224">
        <v>7228182</v>
      </c>
      <c r="AJ24" s="224">
        <v>11115000</v>
      </c>
      <c r="AK24" s="224">
        <v>775076464</v>
      </c>
      <c r="AL24" s="224">
        <v>647096844</v>
      </c>
      <c r="AM24" s="224">
        <v>135207802</v>
      </c>
      <c r="AN24" s="224">
        <v>0</v>
      </c>
      <c r="AO24" s="224">
        <v>-7228182</v>
      </c>
      <c r="AP24" s="224">
        <v>0</v>
      </c>
      <c r="AQ24" s="224">
        <v>0</v>
      </c>
      <c r="AR24" s="224">
        <v>-7228182</v>
      </c>
      <c r="AS24" s="224">
        <v>0</v>
      </c>
      <c r="AT24" s="224">
        <v>597995809</v>
      </c>
      <c r="AU24" s="224">
        <v>35394142</v>
      </c>
      <c r="AV24" s="224">
        <v>562601667</v>
      </c>
      <c r="AW24" s="224">
        <v>562601667</v>
      </c>
      <c r="AX24" s="224"/>
      <c r="AY24" s="224"/>
      <c r="AZ24" s="224"/>
      <c r="BA24" s="247"/>
      <c r="BB24" s="247"/>
      <c r="BC24" s="224">
        <v>0</v>
      </c>
      <c r="BD24" s="224"/>
      <c r="BE24" s="224"/>
      <c r="BF24" s="224"/>
      <c r="BG24" s="224">
        <v>0</v>
      </c>
      <c r="BH24" s="224">
        <v>0</v>
      </c>
      <c r="BI24" s="224">
        <v>0</v>
      </c>
      <c r="BJ24" s="224"/>
      <c r="BK24" s="224"/>
      <c r="BL24" s="224"/>
      <c r="BM24" s="224"/>
      <c r="BN24" s="224">
        <v>0</v>
      </c>
      <c r="BO24" s="224"/>
      <c r="BP24" s="224"/>
      <c r="BQ24" s="224"/>
      <c r="BR24" s="224"/>
      <c r="BS24" s="224"/>
      <c r="BT24" s="224"/>
      <c r="BU24" s="224"/>
      <c r="BV24" s="224"/>
      <c r="BW24" s="224"/>
      <c r="BX24" s="224">
        <v>0</v>
      </c>
      <c r="BY24" s="224">
        <v>0</v>
      </c>
      <c r="BZ24" s="224">
        <v>4471780377</v>
      </c>
      <c r="CA24" s="224">
        <v>625318400</v>
      </c>
      <c r="CB24" s="224">
        <v>115277777</v>
      </c>
      <c r="CC24" s="224">
        <v>5139634</v>
      </c>
      <c r="CD24" s="224">
        <v>12132727</v>
      </c>
      <c r="CE24" s="224">
        <v>1695336</v>
      </c>
      <c r="CF24" s="224">
        <v>2020000</v>
      </c>
      <c r="CG24" s="224">
        <v>2400875</v>
      </c>
      <c r="CH24" s="224">
        <v>138253</v>
      </c>
      <c r="CI24" s="224">
        <v>9216237</v>
      </c>
      <c r="CJ24" s="224">
        <v>5488157</v>
      </c>
      <c r="CK24" s="224">
        <v>173439630</v>
      </c>
      <c r="CL24" s="224">
        <v>3090000</v>
      </c>
      <c r="CM24" s="224">
        <v>74100000</v>
      </c>
      <c r="CN24" s="224">
        <v>24177487</v>
      </c>
      <c r="CO24" s="224">
        <v>0</v>
      </c>
      <c r="CP24" s="224">
        <v>7022629</v>
      </c>
      <c r="CQ24" s="224">
        <v>15000000</v>
      </c>
      <c r="CR24" s="224">
        <v>115437174</v>
      </c>
      <c r="CS24" s="224">
        <v>0</v>
      </c>
      <c r="CT24" s="224">
        <v>0</v>
      </c>
      <c r="CU24" s="224">
        <v>3068750000</v>
      </c>
      <c r="CV24" s="224">
        <v>11936061</v>
      </c>
      <c r="CW24" s="224">
        <v>200000000</v>
      </c>
      <c r="CX24" s="224">
        <v>0</v>
      </c>
      <c r="CY24" s="224"/>
      <c r="CZ24" s="224">
        <v>0</v>
      </c>
      <c r="DA24" s="224">
        <v>-3098708104</v>
      </c>
      <c r="DB24" s="224">
        <v>290909091</v>
      </c>
      <c r="DC24" s="224">
        <v>1005605</v>
      </c>
      <c r="DD24" s="224">
        <v>289903486</v>
      </c>
      <c r="DE24" s="224">
        <v>-2808804618</v>
      </c>
      <c r="DF24" s="224"/>
      <c r="DG24" s="224"/>
      <c r="DH24" s="224">
        <v>-2808804618</v>
      </c>
    </row>
    <row r="25" spans="1:112">
      <c r="A25" s="213" t="s">
        <v>303</v>
      </c>
      <c r="B25" s="224">
        <v>13144990764</v>
      </c>
      <c r="C25" s="224">
        <v>10053619307</v>
      </c>
      <c r="D25" s="224">
        <v>10053619307</v>
      </c>
      <c r="E25" s="224"/>
      <c r="F25" s="224">
        <v>2116116640</v>
      </c>
      <c r="G25" s="224">
        <v>2116116640</v>
      </c>
      <c r="H25" s="224"/>
      <c r="I25" s="224">
        <v>0</v>
      </c>
      <c r="J25" s="224"/>
      <c r="K25" s="224"/>
      <c r="L25" s="224">
        <v>101821482</v>
      </c>
      <c r="M25" s="224">
        <v>0</v>
      </c>
      <c r="N25" s="224">
        <v>10000000</v>
      </c>
      <c r="O25" s="224">
        <v>91821482</v>
      </c>
      <c r="P25" s="224">
        <v>873433335</v>
      </c>
      <c r="Q25" s="224">
        <v>0</v>
      </c>
      <c r="R25" s="224"/>
      <c r="S25" s="224">
        <v>0</v>
      </c>
      <c r="T25" s="224">
        <v>0</v>
      </c>
      <c r="U25" s="224"/>
      <c r="V25" s="224">
        <v>13144990764</v>
      </c>
      <c r="W25" s="224">
        <v>11921064393</v>
      </c>
      <c r="X25" s="224">
        <v>9083370710</v>
      </c>
      <c r="Y25" s="224">
        <v>9083370710</v>
      </c>
      <c r="Z25" s="224"/>
      <c r="AA25" s="224">
        <v>1959402966</v>
      </c>
      <c r="AB25" s="224">
        <v>1959402966</v>
      </c>
      <c r="AC25" s="224"/>
      <c r="AD25" s="224">
        <v>0</v>
      </c>
      <c r="AE25" s="224"/>
      <c r="AF25" s="224"/>
      <c r="AG25" s="224">
        <v>7228182</v>
      </c>
      <c r="AH25" s="224">
        <v>0</v>
      </c>
      <c r="AI25" s="224">
        <v>7228182</v>
      </c>
      <c r="AJ25" s="224">
        <v>871062535</v>
      </c>
      <c r="AK25" s="224">
        <v>1223926371</v>
      </c>
      <c r="AL25" s="224">
        <v>970248597</v>
      </c>
      <c r="AM25" s="224">
        <v>156713674</v>
      </c>
      <c r="AN25" s="224">
        <v>0</v>
      </c>
      <c r="AO25" s="224">
        <v>94593300</v>
      </c>
      <c r="AP25" s="224">
        <v>0</v>
      </c>
      <c r="AQ25" s="224">
        <v>10000000</v>
      </c>
      <c r="AR25" s="224">
        <v>84593300</v>
      </c>
      <c r="AS25" s="224">
        <v>2370800</v>
      </c>
      <c r="AT25" s="224">
        <v>8215116266</v>
      </c>
      <c r="AU25" s="224">
        <v>2826872306</v>
      </c>
      <c r="AV25" s="224">
        <v>5388077965</v>
      </c>
      <c r="AW25" s="224">
        <v>581355055</v>
      </c>
      <c r="AX25" s="224">
        <v>330254444</v>
      </c>
      <c r="AY25" s="224">
        <v>4109988889</v>
      </c>
      <c r="AZ25" s="224">
        <v>137118466</v>
      </c>
      <c r="BA25" s="247">
        <v>28111111</v>
      </c>
      <c r="BB25" s="247">
        <v>201250000</v>
      </c>
      <c r="BC25" s="224">
        <v>0</v>
      </c>
      <c r="BD25" s="224"/>
      <c r="BE25" s="224"/>
      <c r="BF25" s="224"/>
      <c r="BG25" s="224">
        <v>165995</v>
      </c>
      <c r="BH25" s="224">
        <v>-9633247804</v>
      </c>
      <c r="BI25" s="224">
        <v>0</v>
      </c>
      <c r="BJ25" s="224"/>
      <c r="BK25" s="224"/>
      <c r="BL25" s="224"/>
      <c r="BM25" s="224"/>
      <c r="BN25" s="224">
        <v>-9633247804</v>
      </c>
      <c r="BO25" s="224">
        <v>-9492626393</v>
      </c>
      <c r="BP25" s="224">
        <v>-1957462209</v>
      </c>
      <c r="BQ25" s="224">
        <v>1816840798</v>
      </c>
      <c r="BR25" s="224"/>
      <c r="BS25" s="224"/>
      <c r="BT25" s="224"/>
      <c r="BU25" s="224"/>
      <c r="BV25" s="224"/>
      <c r="BW25" s="224"/>
      <c r="BX25" s="224">
        <v>0</v>
      </c>
      <c r="BY25" s="224">
        <v>0</v>
      </c>
      <c r="BZ25" s="224">
        <v>1977951337</v>
      </c>
      <c r="CA25" s="224">
        <v>1225563012</v>
      </c>
      <c r="CB25" s="224">
        <v>119277777</v>
      </c>
      <c r="CC25" s="224">
        <v>7018357</v>
      </c>
      <c r="CD25" s="224">
        <v>19027317</v>
      </c>
      <c r="CE25" s="224">
        <v>4357844</v>
      </c>
      <c r="CF25" s="224">
        <v>3375000</v>
      </c>
      <c r="CG25" s="224">
        <v>1632722</v>
      </c>
      <c r="CH25" s="224">
        <v>130049</v>
      </c>
      <c r="CI25" s="224">
        <v>10558104</v>
      </c>
      <c r="CJ25" s="224">
        <v>5239542</v>
      </c>
      <c r="CK25" s="224">
        <v>173439630</v>
      </c>
      <c r="CL25" s="224">
        <v>3090000</v>
      </c>
      <c r="CM25" s="224">
        <v>0</v>
      </c>
      <c r="CN25" s="224">
        <v>24644968</v>
      </c>
      <c r="CO25" s="224">
        <v>210000000</v>
      </c>
      <c r="CP25" s="224">
        <v>9454777</v>
      </c>
      <c r="CQ25" s="224">
        <v>15070000</v>
      </c>
      <c r="CR25" s="224">
        <v>64297721</v>
      </c>
      <c r="CS25" s="224">
        <v>0</v>
      </c>
      <c r="CT25" s="224">
        <v>0</v>
      </c>
      <c r="CU25" s="224">
        <v>68750000</v>
      </c>
      <c r="CV25" s="224">
        <v>13024517</v>
      </c>
      <c r="CW25" s="224">
        <v>0</v>
      </c>
      <c r="CX25" s="224">
        <v>0</v>
      </c>
      <c r="CY25" s="224"/>
      <c r="CZ25" s="224">
        <v>0</v>
      </c>
      <c r="DA25" s="224">
        <v>17094339104</v>
      </c>
      <c r="DB25" s="224">
        <v>6808259</v>
      </c>
      <c r="DC25" s="224">
        <v>17624000</v>
      </c>
      <c r="DD25" s="224">
        <v>-10815741</v>
      </c>
      <c r="DE25" s="224">
        <v>17083523363</v>
      </c>
      <c r="DF25" s="224"/>
      <c r="DG25" s="224"/>
      <c r="DH25" s="224">
        <v>17083523363</v>
      </c>
    </row>
    <row r="26" spans="1:112" s="324" customFormat="1">
      <c r="A26" s="320" t="s">
        <v>405</v>
      </c>
      <c r="B26" s="321">
        <v>7430996486</v>
      </c>
      <c r="C26" s="321">
        <v>5605574756</v>
      </c>
      <c r="D26" s="321">
        <v>5605574756</v>
      </c>
      <c r="E26" s="321">
        <v>0</v>
      </c>
      <c r="F26" s="321">
        <v>1815421730</v>
      </c>
      <c r="G26" s="321">
        <v>1815421730</v>
      </c>
      <c r="H26" s="321">
        <v>0</v>
      </c>
      <c r="I26" s="321">
        <v>0</v>
      </c>
      <c r="J26" s="321"/>
      <c r="K26" s="321">
        <v>0</v>
      </c>
      <c r="L26" s="321">
        <v>10000000</v>
      </c>
      <c r="M26" s="321">
        <v>0</v>
      </c>
      <c r="N26" s="321">
        <v>10000000</v>
      </c>
      <c r="O26" s="321">
        <v>0</v>
      </c>
      <c r="P26" s="321">
        <v>0</v>
      </c>
      <c r="Q26" s="321">
        <v>0</v>
      </c>
      <c r="R26" s="321"/>
      <c r="S26" s="321">
        <v>0</v>
      </c>
      <c r="T26" s="321">
        <v>0</v>
      </c>
      <c r="U26" s="321"/>
      <c r="V26" s="321">
        <v>7430996486</v>
      </c>
      <c r="W26" s="321">
        <v>6755081961</v>
      </c>
      <c r="X26" s="321">
        <v>5063870958</v>
      </c>
      <c r="Y26" s="321">
        <v>5063870958</v>
      </c>
      <c r="Z26" s="321">
        <v>0</v>
      </c>
      <c r="AA26" s="321">
        <v>1683982821</v>
      </c>
      <c r="AB26" s="321">
        <v>1683982821</v>
      </c>
      <c r="AC26" s="321">
        <v>0</v>
      </c>
      <c r="AD26" s="321">
        <v>0</v>
      </c>
      <c r="AE26" s="321"/>
      <c r="AF26" s="321">
        <v>0</v>
      </c>
      <c r="AG26" s="321">
        <v>7228182</v>
      </c>
      <c r="AH26" s="321">
        <v>0</v>
      </c>
      <c r="AI26" s="321">
        <v>7228182</v>
      </c>
      <c r="AJ26" s="321">
        <v>0</v>
      </c>
      <c r="AK26" s="321">
        <v>675914525</v>
      </c>
      <c r="AL26" s="321">
        <v>541703798</v>
      </c>
      <c r="AM26" s="321">
        <v>131438909</v>
      </c>
      <c r="AN26" s="321">
        <v>0</v>
      </c>
      <c r="AO26" s="321">
        <v>2771818</v>
      </c>
      <c r="AP26" s="321">
        <v>0</v>
      </c>
      <c r="AQ26" s="321">
        <v>10000000</v>
      </c>
      <c r="AR26" s="321">
        <v>-7228182</v>
      </c>
      <c r="AS26" s="321">
        <v>0</v>
      </c>
      <c r="AT26" s="321">
        <v>583255055</v>
      </c>
      <c r="AU26" s="321">
        <v>1900000</v>
      </c>
      <c r="AV26" s="321">
        <v>581355055</v>
      </c>
      <c r="AW26" s="321">
        <v>581355055</v>
      </c>
      <c r="AX26" s="321">
        <v>0</v>
      </c>
      <c r="AY26" s="321">
        <v>0</v>
      </c>
      <c r="AZ26" s="321">
        <v>0</v>
      </c>
      <c r="BA26" s="322">
        <v>0</v>
      </c>
      <c r="BB26" s="322">
        <v>0</v>
      </c>
      <c r="BC26" s="321">
        <v>0</v>
      </c>
      <c r="BD26" s="321"/>
      <c r="BE26" s="321"/>
      <c r="BF26" s="321"/>
      <c r="BG26" s="321">
        <v>0</v>
      </c>
      <c r="BH26" s="321">
        <v>0</v>
      </c>
      <c r="BI26" s="321">
        <v>0</v>
      </c>
      <c r="BJ26" s="321"/>
      <c r="BK26" s="321"/>
      <c r="BL26" s="321"/>
      <c r="BM26" s="321"/>
      <c r="BN26" s="321"/>
      <c r="BO26" s="321"/>
      <c r="BP26" s="321"/>
      <c r="BQ26" s="321"/>
      <c r="BR26" s="321"/>
      <c r="BS26" s="321"/>
      <c r="BT26" s="321"/>
      <c r="BU26" s="321"/>
      <c r="BV26" s="321"/>
      <c r="BW26" s="321"/>
      <c r="BX26" s="321">
        <v>0</v>
      </c>
      <c r="BY26" s="321">
        <v>0</v>
      </c>
      <c r="BZ26" s="321">
        <v>1309763830</v>
      </c>
      <c r="CA26" s="321">
        <v>656209827</v>
      </c>
      <c r="CB26" s="321">
        <v>117777777</v>
      </c>
      <c r="CC26" s="321">
        <v>5615260</v>
      </c>
      <c r="CD26" s="321">
        <v>24705214</v>
      </c>
      <c r="CE26" s="321">
        <v>2500000</v>
      </c>
      <c r="CF26" s="321">
        <v>1851852</v>
      </c>
      <c r="CG26" s="321">
        <v>1500000</v>
      </c>
      <c r="CH26" s="321">
        <v>180000</v>
      </c>
      <c r="CI26" s="321">
        <v>10558104</v>
      </c>
      <c r="CJ26" s="321">
        <v>5540000</v>
      </c>
      <c r="CK26" s="321">
        <v>173439630</v>
      </c>
      <c r="CL26" s="321">
        <v>3200000</v>
      </c>
      <c r="CM26" s="321">
        <v>0</v>
      </c>
      <c r="CN26" s="321">
        <v>33769500</v>
      </c>
      <c r="CO26" s="321">
        <v>0</v>
      </c>
      <c r="CP26" s="321">
        <v>6000000</v>
      </c>
      <c r="CQ26" s="321">
        <v>15500000</v>
      </c>
      <c r="CR26" s="321">
        <v>72000000</v>
      </c>
      <c r="CS26" s="321">
        <v>40000000</v>
      </c>
      <c r="CT26" s="321">
        <v>0</v>
      </c>
      <c r="CU26" s="321">
        <v>115416666</v>
      </c>
      <c r="CV26" s="321">
        <v>14000000</v>
      </c>
      <c r="CW26" s="321">
        <v>10000000</v>
      </c>
      <c r="CX26" s="321">
        <v>0</v>
      </c>
      <c r="CY26" s="321">
        <v>0</v>
      </c>
      <c r="CZ26" s="321">
        <v>0</v>
      </c>
      <c r="DA26" s="321">
        <v>-50594250</v>
      </c>
      <c r="DB26" s="321">
        <v>0</v>
      </c>
      <c r="DC26" s="321">
        <v>0</v>
      </c>
      <c r="DD26" s="321">
        <v>0</v>
      </c>
      <c r="DE26" s="321">
        <v>-50594250</v>
      </c>
      <c r="DF26" s="321"/>
      <c r="DG26" s="321"/>
      <c r="DH26" s="323">
        <v>-50594250</v>
      </c>
    </row>
    <row r="27" spans="1:112" s="324" customFormat="1">
      <c r="A27" s="320" t="s">
        <v>406</v>
      </c>
      <c r="B27" s="321">
        <v>8583276880</v>
      </c>
      <c r="C27" s="321">
        <v>2684922792</v>
      </c>
      <c r="D27" s="321">
        <v>2684922792</v>
      </c>
      <c r="E27" s="321">
        <v>0</v>
      </c>
      <c r="F27" s="321">
        <v>1927707792</v>
      </c>
      <c r="G27" s="321">
        <v>1927707792</v>
      </c>
      <c r="H27" s="321">
        <v>0</v>
      </c>
      <c r="I27" s="321">
        <v>3960646296</v>
      </c>
      <c r="J27" s="321"/>
      <c r="K27" s="321">
        <v>3960646296</v>
      </c>
      <c r="L27" s="321">
        <v>10000000</v>
      </c>
      <c r="M27" s="321">
        <v>0</v>
      </c>
      <c r="N27" s="321">
        <v>10000000</v>
      </c>
      <c r="O27" s="321">
        <v>0</v>
      </c>
      <c r="P27" s="321">
        <v>0</v>
      </c>
      <c r="Q27" s="321">
        <v>0</v>
      </c>
      <c r="R27" s="321"/>
      <c r="S27" s="321">
        <v>0</v>
      </c>
      <c r="T27" s="321">
        <v>0</v>
      </c>
      <c r="U27" s="321"/>
      <c r="V27" s="321">
        <v>8583276880</v>
      </c>
      <c r="W27" s="321">
        <v>7793153910</v>
      </c>
      <c r="X27" s="321">
        <v>2422492564</v>
      </c>
      <c r="Y27" s="321">
        <v>2422492564</v>
      </c>
      <c r="Z27" s="321">
        <v>0</v>
      </c>
      <c r="AA27" s="321">
        <v>1785712847</v>
      </c>
      <c r="AB27" s="321">
        <v>1785712847</v>
      </c>
      <c r="AC27" s="321">
        <v>0</v>
      </c>
      <c r="AD27" s="321">
        <v>3577720317</v>
      </c>
      <c r="AE27" s="321"/>
      <c r="AF27" s="321">
        <v>3577720317</v>
      </c>
      <c r="AG27" s="321">
        <v>7228182</v>
      </c>
      <c r="AH27" s="321">
        <v>0</v>
      </c>
      <c r="AI27" s="321">
        <v>7228182</v>
      </c>
      <c r="AJ27" s="321">
        <v>0</v>
      </c>
      <c r="AK27" s="321">
        <v>790122970</v>
      </c>
      <c r="AL27" s="321">
        <v>262430228</v>
      </c>
      <c r="AM27" s="321">
        <v>141994945</v>
      </c>
      <c r="AN27" s="321">
        <v>382925979</v>
      </c>
      <c r="AO27" s="321">
        <v>2771818</v>
      </c>
      <c r="AP27" s="321">
        <v>0</v>
      </c>
      <c r="AQ27" s="321">
        <v>10000000</v>
      </c>
      <c r="AR27" s="321">
        <v>-7228182</v>
      </c>
      <c r="AS27" s="321">
        <v>0</v>
      </c>
      <c r="AT27" s="321">
        <v>526994889</v>
      </c>
      <c r="AU27" s="321">
        <v>1900000</v>
      </c>
      <c r="AV27" s="321">
        <v>525094889</v>
      </c>
      <c r="AW27" s="321">
        <v>525094889</v>
      </c>
      <c r="AX27" s="321">
        <v>0</v>
      </c>
      <c r="AY27" s="321">
        <v>0</v>
      </c>
      <c r="AZ27" s="321">
        <v>0</v>
      </c>
      <c r="BA27" s="322">
        <v>0</v>
      </c>
      <c r="BB27" s="322">
        <v>0</v>
      </c>
      <c r="BC27" s="321">
        <v>0</v>
      </c>
      <c r="BD27" s="321"/>
      <c r="BE27" s="321"/>
      <c r="BF27" s="321"/>
      <c r="BG27" s="321">
        <v>0</v>
      </c>
      <c r="BH27" s="321">
        <v>0</v>
      </c>
      <c r="BI27" s="321">
        <v>0</v>
      </c>
      <c r="BJ27" s="321"/>
      <c r="BK27" s="321"/>
      <c r="BL27" s="321"/>
      <c r="BM27" s="321"/>
      <c r="BN27" s="321">
        <v>0</v>
      </c>
      <c r="BO27" s="321"/>
      <c r="BP27" s="321"/>
      <c r="BQ27" s="321"/>
      <c r="BR27" s="321"/>
      <c r="BS27" s="321"/>
      <c r="BT27" s="321"/>
      <c r="BU27" s="321"/>
      <c r="BV27" s="321"/>
      <c r="BW27" s="321"/>
      <c r="BX27" s="321">
        <v>0</v>
      </c>
      <c r="BY27" s="321">
        <v>0</v>
      </c>
      <c r="BZ27" s="321">
        <v>1432189163</v>
      </c>
      <c r="CA27" s="321">
        <v>681487900</v>
      </c>
      <c r="CB27" s="321">
        <v>114777777</v>
      </c>
      <c r="CC27" s="321">
        <v>5615247</v>
      </c>
      <c r="CD27" s="321">
        <v>24705214</v>
      </c>
      <c r="CE27" s="321">
        <v>2500000</v>
      </c>
      <c r="CF27" s="321">
        <v>1851852</v>
      </c>
      <c r="CG27" s="321">
        <v>3000000</v>
      </c>
      <c r="CH27" s="321">
        <v>180000</v>
      </c>
      <c r="CI27" s="321">
        <v>13205377</v>
      </c>
      <c r="CJ27" s="321">
        <v>5540000</v>
      </c>
      <c r="CK27" s="321">
        <v>173439630</v>
      </c>
      <c r="CL27" s="321">
        <v>3200000</v>
      </c>
      <c r="CM27" s="321">
        <v>0</v>
      </c>
      <c r="CN27" s="321">
        <v>33769500</v>
      </c>
      <c r="CO27" s="321">
        <v>0</v>
      </c>
      <c r="CP27" s="321">
        <v>6000000</v>
      </c>
      <c r="CQ27" s="321">
        <v>15500000</v>
      </c>
      <c r="CR27" s="321">
        <v>203000000</v>
      </c>
      <c r="CS27" s="321">
        <v>0</v>
      </c>
      <c r="CT27" s="321">
        <v>0</v>
      </c>
      <c r="CU27" s="321">
        <v>120416666</v>
      </c>
      <c r="CV27" s="321">
        <v>14000000</v>
      </c>
      <c r="CW27" s="321">
        <v>10000000</v>
      </c>
      <c r="CX27" s="321">
        <v>0</v>
      </c>
      <c r="CY27" s="321">
        <v>0</v>
      </c>
      <c r="CZ27" s="321">
        <v>0</v>
      </c>
      <c r="DA27" s="321">
        <v>-115071304</v>
      </c>
      <c r="DB27" s="321">
        <v>0</v>
      </c>
      <c r="DC27" s="321">
        <v>0</v>
      </c>
      <c r="DD27" s="321">
        <v>0</v>
      </c>
      <c r="DE27" s="321">
        <v>-115071304</v>
      </c>
      <c r="DF27" s="321"/>
      <c r="DG27" s="321"/>
      <c r="DH27" s="323">
        <v>-115071304</v>
      </c>
    </row>
    <row r="28" spans="1:112" s="324" customFormat="1">
      <c r="A28" s="320" t="s">
        <v>407</v>
      </c>
      <c r="B28" s="321">
        <v>10174546674</v>
      </c>
      <c r="C28" s="321">
        <v>7207167543</v>
      </c>
      <c r="D28" s="321">
        <v>7207167543</v>
      </c>
      <c r="E28" s="321">
        <v>0</v>
      </c>
      <c r="F28" s="321">
        <v>2884808421</v>
      </c>
      <c r="G28" s="321">
        <v>2884808421</v>
      </c>
      <c r="H28" s="321">
        <v>0</v>
      </c>
      <c r="I28" s="321">
        <v>0</v>
      </c>
      <c r="J28" s="321"/>
      <c r="K28" s="321">
        <v>0</v>
      </c>
      <c r="L28" s="321">
        <v>82570710</v>
      </c>
      <c r="M28" s="321">
        <v>0</v>
      </c>
      <c r="N28" s="321">
        <v>20000000</v>
      </c>
      <c r="O28" s="321">
        <v>62570710</v>
      </c>
      <c r="P28" s="321">
        <v>0</v>
      </c>
      <c r="Q28" s="321">
        <v>0</v>
      </c>
      <c r="R28" s="321"/>
      <c r="S28" s="321">
        <v>0</v>
      </c>
      <c r="T28" s="321">
        <v>0</v>
      </c>
      <c r="U28" s="321"/>
      <c r="V28" s="321">
        <v>10174546674</v>
      </c>
      <c r="W28" s="321">
        <v>9188732975</v>
      </c>
      <c r="X28" s="321">
        <v>6510691233</v>
      </c>
      <c r="Y28" s="321">
        <v>6510691233</v>
      </c>
      <c r="Z28" s="321">
        <v>0</v>
      </c>
      <c r="AA28" s="321">
        <v>2670813560</v>
      </c>
      <c r="AB28" s="321">
        <v>2670813560</v>
      </c>
      <c r="AC28" s="321">
        <v>0</v>
      </c>
      <c r="AD28" s="321">
        <v>0</v>
      </c>
      <c r="AE28" s="321"/>
      <c r="AF28" s="321">
        <v>0</v>
      </c>
      <c r="AG28" s="321">
        <v>7228182</v>
      </c>
      <c r="AH28" s="321">
        <v>0</v>
      </c>
      <c r="AI28" s="321">
        <v>7228182</v>
      </c>
      <c r="AJ28" s="321">
        <v>0</v>
      </c>
      <c r="AK28" s="321">
        <v>985813699</v>
      </c>
      <c r="AL28" s="321">
        <v>696476310</v>
      </c>
      <c r="AM28" s="321">
        <v>213994861</v>
      </c>
      <c r="AN28" s="321">
        <v>0</v>
      </c>
      <c r="AO28" s="321">
        <v>75342528</v>
      </c>
      <c r="AP28" s="321">
        <v>0</v>
      </c>
      <c r="AQ28" s="321">
        <v>20000000</v>
      </c>
      <c r="AR28" s="321">
        <v>55342528</v>
      </c>
      <c r="AS28" s="321">
        <v>0</v>
      </c>
      <c r="AT28" s="321">
        <v>8733335675</v>
      </c>
      <c r="AU28" s="321">
        <v>1383573425</v>
      </c>
      <c r="AV28" s="321">
        <v>7349762250</v>
      </c>
      <c r="AW28" s="321">
        <v>581355055</v>
      </c>
      <c r="AX28" s="321">
        <v>323075000</v>
      </c>
      <c r="AY28" s="321">
        <v>4189750000</v>
      </c>
      <c r="AZ28" s="321">
        <v>95007195</v>
      </c>
      <c r="BA28" s="322">
        <v>323075000</v>
      </c>
      <c r="BB28" s="322">
        <v>1837500000</v>
      </c>
      <c r="BC28" s="321">
        <v>0</v>
      </c>
      <c r="BD28" s="321"/>
      <c r="BE28" s="321"/>
      <c r="BF28" s="321"/>
      <c r="BG28" s="321">
        <v>0</v>
      </c>
      <c r="BH28" s="321">
        <v>6231560689</v>
      </c>
      <c r="BI28" s="321">
        <v>0</v>
      </c>
      <c r="BJ28" s="321"/>
      <c r="BK28" s="321"/>
      <c r="BL28" s="321"/>
      <c r="BM28" s="321"/>
      <c r="BN28" s="321">
        <v>6231560689</v>
      </c>
      <c r="BO28" s="321">
        <v>4052324117</v>
      </c>
      <c r="BP28" s="321">
        <v>1713196</v>
      </c>
      <c r="BQ28" s="321">
        <v>2177523376</v>
      </c>
      <c r="BR28" s="321"/>
      <c r="BS28" s="321"/>
      <c r="BT28" s="321"/>
      <c r="BU28" s="321"/>
      <c r="BV28" s="321"/>
      <c r="BW28" s="321"/>
      <c r="BX28" s="321">
        <v>0</v>
      </c>
      <c r="BY28" s="321">
        <v>0</v>
      </c>
      <c r="BZ28" s="321">
        <v>1604975277</v>
      </c>
      <c r="CA28" s="321">
        <v>704746287</v>
      </c>
      <c r="CB28" s="321">
        <v>113777777</v>
      </c>
      <c r="CC28" s="321">
        <v>5615247</v>
      </c>
      <c r="CD28" s="321">
        <v>24705214</v>
      </c>
      <c r="CE28" s="321">
        <v>2500000</v>
      </c>
      <c r="CF28" s="321">
        <v>1851852</v>
      </c>
      <c r="CG28" s="321">
        <v>3700000</v>
      </c>
      <c r="CH28" s="321">
        <v>180000</v>
      </c>
      <c r="CI28" s="321">
        <v>13033104</v>
      </c>
      <c r="CJ28" s="321">
        <v>5540000</v>
      </c>
      <c r="CK28" s="321">
        <v>173439630</v>
      </c>
      <c r="CL28" s="321">
        <v>3200000</v>
      </c>
      <c r="CM28" s="321">
        <v>40500000</v>
      </c>
      <c r="CN28" s="321">
        <v>34269500</v>
      </c>
      <c r="CO28" s="321">
        <v>0</v>
      </c>
      <c r="CP28" s="321">
        <v>6000000</v>
      </c>
      <c r="CQ28" s="321">
        <v>15500000</v>
      </c>
      <c r="CR28" s="321">
        <v>107000000</v>
      </c>
      <c r="CS28" s="321">
        <v>0</v>
      </c>
      <c r="CT28" s="321">
        <v>10000000</v>
      </c>
      <c r="CU28" s="321">
        <v>115416666</v>
      </c>
      <c r="CV28" s="321">
        <v>14000000</v>
      </c>
      <c r="CW28" s="321">
        <v>210000000</v>
      </c>
      <c r="CX28" s="321">
        <v>0</v>
      </c>
      <c r="CY28" s="321">
        <v>0</v>
      </c>
      <c r="CZ28" s="321">
        <v>0</v>
      </c>
      <c r="DA28" s="321">
        <v>1882613408</v>
      </c>
      <c r="DB28" s="321">
        <v>0</v>
      </c>
      <c r="DC28" s="321">
        <v>0</v>
      </c>
      <c r="DD28" s="321">
        <v>0</v>
      </c>
      <c r="DE28" s="321">
        <v>1882613408</v>
      </c>
      <c r="DF28" s="321"/>
      <c r="DG28" s="321"/>
      <c r="DH28" s="323">
        <v>1882613408</v>
      </c>
    </row>
    <row r="29" spans="1:112" s="324" customFormat="1">
      <c r="A29" s="320" t="s">
        <v>408</v>
      </c>
      <c r="B29" s="321">
        <v>12180080870</v>
      </c>
      <c r="C29" s="321">
        <v>5605574756</v>
      </c>
      <c r="D29" s="321">
        <v>5605574756</v>
      </c>
      <c r="E29" s="321">
        <v>0</v>
      </c>
      <c r="F29" s="321">
        <v>6554506114</v>
      </c>
      <c r="G29" s="321">
        <v>6554506114</v>
      </c>
      <c r="H29" s="321">
        <v>0</v>
      </c>
      <c r="I29" s="321">
        <v>0</v>
      </c>
      <c r="J29" s="321"/>
      <c r="K29" s="321">
        <v>0</v>
      </c>
      <c r="L29" s="321">
        <v>20000000</v>
      </c>
      <c r="M29" s="321">
        <v>0</v>
      </c>
      <c r="N29" s="321">
        <v>20000000</v>
      </c>
      <c r="O29" s="321">
        <v>0</v>
      </c>
      <c r="P29" s="321">
        <v>0</v>
      </c>
      <c r="Q29" s="321">
        <v>0</v>
      </c>
      <c r="R29" s="321"/>
      <c r="S29" s="321">
        <v>0</v>
      </c>
      <c r="T29" s="321">
        <v>0</v>
      </c>
      <c r="U29" s="321"/>
      <c r="V29" s="321">
        <v>12180080870</v>
      </c>
      <c r="W29" s="321">
        <v>11131877837</v>
      </c>
      <c r="X29" s="321">
        <v>5063870958</v>
      </c>
      <c r="Y29" s="321">
        <v>5063870958</v>
      </c>
      <c r="Z29" s="321">
        <v>0</v>
      </c>
      <c r="AA29" s="321">
        <v>6060778697</v>
      </c>
      <c r="AB29" s="321">
        <v>6060778697</v>
      </c>
      <c r="AC29" s="321">
        <v>0</v>
      </c>
      <c r="AD29" s="321">
        <v>0</v>
      </c>
      <c r="AE29" s="321"/>
      <c r="AF29" s="321">
        <v>0</v>
      </c>
      <c r="AG29" s="321">
        <v>7228182</v>
      </c>
      <c r="AH29" s="321">
        <v>0</v>
      </c>
      <c r="AI29" s="321">
        <v>7228182</v>
      </c>
      <c r="AJ29" s="321">
        <v>0</v>
      </c>
      <c r="AK29" s="321">
        <v>1048203033</v>
      </c>
      <c r="AL29" s="321">
        <v>541703798</v>
      </c>
      <c r="AM29" s="321">
        <v>493727417</v>
      </c>
      <c r="AN29" s="321">
        <v>0</v>
      </c>
      <c r="AO29" s="321">
        <v>12771818</v>
      </c>
      <c r="AP29" s="321">
        <v>0</v>
      </c>
      <c r="AQ29" s="321">
        <v>20000000</v>
      </c>
      <c r="AR29" s="321">
        <v>-7228182</v>
      </c>
      <c r="AS29" s="321">
        <v>0</v>
      </c>
      <c r="AT29" s="321">
        <v>564501666</v>
      </c>
      <c r="AU29" s="321">
        <v>1900000</v>
      </c>
      <c r="AV29" s="321">
        <v>562601666</v>
      </c>
      <c r="AW29" s="321">
        <v>562601666</v>
      </c>
      <c r="AX29" s="321">
        <v>0</v>
      </c>
      <c r="AY29" s="321">
        <v>0</v>
      </c>
      <c r="AZ29" s="321">
        <v>0</v>
      </c>
      <c r="BA29" s="322">
        <v>0</v>
      </c>
      <c r="BB29" s="322">
        <v>0</v>
      </c>
      <c r="BC29" s="321">
        <v>0</v>
      </c>
      <c r="BD29" s="321"/>
      <c r="BE29" s="321"/>
      <c r="BF29" s="321"/>
      <c r="BG29" s="321">
        <v>0</v>
      </c>
      <c r="BH29" s="321">
        <v>0</v>
      </c>
      <c r="BI29" s="321">
        <v>0</v>
      </c>
      <c r="BJ29" s="321"/>
      <c r="BK29" s="321"/>
      <c r="BL29" s="321"/>
      <c r="BM29" s="321"/>
      <c r="BN29" s="321">
        <v>0</v>
      </c>
      <c r="BO29" s="321"/>
      <c r="BP29" s="321"/>
      <c r="BQ29" s="321"/>
      <c r="BR29" s="321"/>
      <c r="BS29" s="321"/>
      <c r="BT29" s="321"/>
      <c r="BU29" s="321"/>
      <c r="BV29" s="321"/>
      <c r="BW29" s="321"/>
      <c r="BX29" s="321">
        <v>0</v>
      </c>
      <c r="BY29" s="321">
        <v>0</v>
      </c>
      <c r="BZ29" s="321">
        <v>1429038467</v>
      </c>
      <c r="CA29" s="321">
        <v>710186400</v>
      </c>
      <c r="CB29" s="321">
        <v>117777777</v>
      </c>
      <c r="CC29" s="321">
        <v>5615247</v>
      </c>
      <c r="CD29" s="321">
        <v>24705214</v>
      </c>
      <c r="CE29" s="321">
        <v>2500000</v>
      </c>
      <c r="CF29" s="321">
        <v>1851852</v>
      </c>
      <c r="CG29" s="321">
        <v>15800000</v>
      </c>
      <c r="CH29" s="321">
        <v>180000</v>
      </c>
      <c r="CI29" s="321">
        <v>20056181</v>
      </c>
      <c r="CJ29" s="321">
        <v>5540000</v>
      </c>
      <c r="CK29" s="321">
        <v>173439630</v>
      </c>
      <c r="CL29" s="321">
        <v>3200000</v>
      </c>
      <c r="CM29" s="321">
        <v>0</v>
      </c>
      <c r="CN29" s="321">
        <v>32269500</v>
      </c>
      <c r="CO29" s="321">
        <v>0</v>
      </c>
      <c r="CP29" s="321">
        <v>6000000</v>
      </c>
      <c r="CQ29" s="321">
        <v>15500000</v>
      </c>
      <c r="CR29" s="321">
        <v>132000000</v>
      </c>
      <c r="CS29" s="321">
        <v>18000000</v>
      </c>
      <c r="CT29" s="321">
        <v>0</v>
      </c>
      <c r="CU29" s="321">
        <v>120416666</v>
      </c>
      <c r="CV29" s="321">
        <v>14000000</v>
      </c>
      <c r="CW29" s="321">
        <v>10000000</v>
      </c>
      <c r="CX29" s="321">
        <v>0</v>
      </c>
      <c r="CY29" s="321">
        <v>0</v>
      </c>
      <c r="CZ29" s="321">
        <v>0</v>
      </c>
      <c r="DA29" s="321">
        <v>183666232</v>
      </c>
      <c r="DB29" s="321">
        <v>0</v>
      </c>
      <c r="DC29" s="321">
        <v>0</v>
      </c>
      <c r="DD29" s="321">
        <v>0</v>
      </c>
      <c r="DE29" s="321">
        <v>183666232</v>
      </c>
      <c r="DF29" s="321"/>
      <c r="DG29" s="321"/>
      <c r="DH29" s="323">
        <v>183666232</v>
      </c>
    </row>
    <row r="30" spans="1:112" s="324" customFormat="1">
      <c r="A30" s="320" t="s">
        <v>409</v>
      </c>
      <c r="B30" s="321">
        <v>11934279308</v>
      </c>
      <c r="C30" s="321">
        <v>5841303928</v>
      </c>
      <c r="D30" s="321">
        <v>5841303928</v>
      </c>
      <c r="E30" s="321">
        <v>0</v>
      </c>
      <c r="F30" s="321">
        <v>6082975380</v>
      </c>
      <c r="G30" s="321">
        <v>6082975380</v>
      </c>
      <c r="H30" s="321">
        <v>0</v>
      </c>
      <c r="I30" s="321">
        <v>0</v>
      </c>
      <c r="J30" s="321"/>
      <c r="K30" s="321">
        <v>0</v>
      </c>
      <c r="L30" s="321">
        <v>10000000</v>
      </c>
      <c r="M30" s="321">
        <v>0</v>
      </c>
      <c r="N30" s="321">
        <v>10000000</v>
      </c>
      <c r="O30" s="321">
        <v>0</v>
      </c>
      <c r="P30" s="321">
        <v>0</v>
      </c>
      <c r="Q30" s="321">
        <v>0</v>
      </c>
      <c r="R30" s="321"/>
      <c r="S30" s="321">
        <v>0</v>
      </c>
      <c r="T30" s="321">
        <v>0</v>
      </c>
      <c r="U30" s="321"/>
      <c r="V30" s="321">
        <v>11934279308</v>
      </c>
      <c r="W30" s="321">
        <v>10915233570</v>
      </c>
      <c r="X30" s="321">
        <v>5282756790</v>
      </c>
      <c r="Y30" s="321">
        <v>5282756790</v>
      </c>
      <c r="Z30" s="321">
        <v>0</v>
      </c>
      <c r="AA30" s="321">
        <v>5625248598</v>
      </c>
      <c r="AB30" s="321">
        <v>5625248598</v>
      </c>
      <c r="AC30" s="321">
        <v>0</v>
      </c>
      <c r="AD30" s="321">
        <v>0</v>
      </c>
      <c r="AE30" s="321"/>
      <c r="AF30" s="321">
        <v>0</v>
      </c>
      <c r="AG30" s="321">
        <v>7228182</v>
      </c>
      <c r="AH30" s="321">
        <v>0</v>
      </c>
      <c r="AI30" s="321">
        <v>7228182</v>
      </c>
      <c r="AJ30" s="321">
        <v>0</v>
      </c>
      <c r="AK30" s="321">
        <v>1019045738</v>
      </c>
      <c r="AL30" s="321">
        <v>558547138</v>
      </c>
      <c r="AM30" s="321">
        <v>457726782</v>
      </c>
      <c r="AN30" s="321">
        <v>0</v>
      </c>
      <c r="AO30" s="321">
        <v>2771818</v>
      </c>
      <c r="AP30" s="321">
        <v>0</v>
      </c>
      <c r="AQ30" s="321">
        <v>10000000</v>
      </c>
      <c r="AR30" s="321">
        <v>-7228182</v>
      </c>
      <c r="AS30" s="321">
        <v>0</v>
      </c>
      <c r="AT30" s="321">
        <v>583255055</v>
      </c>
      <c r="AU30" s="321">
        <v>1900000</v>
      </c>
      <c r="AV30" s="321">
        <v>581355055</v>
      </c>
      <c r="AW30" s="321">
        <v>581355055</v>
      </c>
      <c r="AX30" s="321">
        <v>0</v>
      </c>
      <c r="AY30" s="321">
        <v>0</v>
      </c>
      <c r="AZ30" s="321">
        <v>0</v>
      </c>
      <c r="BA30" s="322">
        <v>0</v>
      </c>
      <c r="BB30" s="322">
        <v>0</v>
      </c>
      <c r="BC30" s="321">
        <v>0</v>
      </c>
      <c r="BD30" s="321"/>
      <c r="BE30" s="321"/>
      <c r="BF30" s="321"/>
      <c r="BG30" s="321">
        <v>0</v>
      </c>
      <c r="BH30" s="321">
        <v>0</v>
      </c>
      <c r="BI30" s="321">
        <v>0</v>
      </c>
      <c r="BJ30" s="321"/>
      <c r="BK30" s="321"/>
      <c r="BL30" s="321"/>
      <c r="BM30" s="321"/>
      <c r="BN30" s="321">
        <v>0</v>
      </c>
      <c r="BO30" s="321"/>
      <c r="BP30" s="321"/>
      <c r="BQ30" s="321"/>
      <c r="BR30" s="321"/>
      <c r="BS30" s="321"/>
      <c r="BT30" s="321"/>
      <c r="BU30" s="321"/>
      <c r="BV30" s="321"/>
      <c r="BW30" s="321"/>
      <c r="BX30" s="321">
        <v>0</v>
      </c>
      <c r="BY30" s="321">
        <v>0</v>
      </c>
      <c r="BZ30" s="321">
        <v>2073491748</v>
      </c>
      <c r="CA30" s="321">
        <v>699186400</v>
      </c>
      <c r="CB30" s="321">
        <v>123777777</v>
      </c>
      <c r="CC30" s="321">
        <v>4495802</v>
      </c>
      <c r="CD30" s="321">
        <v>24705214</v>
      </c>
      <c r="CE30" s="321">
        <v>2500000</v>
      </c>
      <c r="CF30" s="321">
        <v>2777778</v>
      </c>
      <c r="CG30" s="321">
        <v>1500000</v>
      </c>
      <c r="CH30" s="321">
        <v>180000</v>
      </c>
      <c r="CI30" s="321">
        <v>14002981</v>
      </c>
      <c r="CJ30" s="321">
        <v>5540000</v>
      </c>
      <c r="CK30" s="321">
        <v>173439630</v>
      </c>
      <c r="CL30" s="321">
        <v>3200000</v>
      </c>
      <c r="CM30" s="321">
        <v>0</v>
      </c>
      <c r="CN30" s="321">
        <v>29769500</v>
      </c>
      <c r="CO30" s="321">
        <v>0</v>
      </c>
      <c r="CP30" s="321">
        <v>6000000</v>
      </c>
      <c r="CQ30" s="321">
        <v>15500000</v>
      </c>
      <c r="CR30" s="321">
        <v>102000000</v>
      </c>
      <c r="CS30" s="321">
        <v>115500000</v>
      </c>
      <c r="CT30" s="321">
        <v>10000000</v>
      </c>
      <c r="CU30" s="321">
        <v>115416666</v>
      </c>
      <c r="CV30" s="321">
        <v>14000000</v>
      </c>
      <c r="CW30" s="321">
        <v>10000000</v>
      </c>
      <c r="CX30" s="321">
        <v>0</v>
      </c>
      <c r="CY30" s="321">
        <v>600000000</v>
      </c>
      <c r="CZ30" s="321">
        <v>0</v>
      </c>
      <c r="DA30" s="321">
        <v>-471190955</v>
      </c>
      <c r="DB30" s="321">
        <v>0</v>
      </c>
      <c r="DC30" s="321">
        <v>0</v>
      </c>
      <c r="DD30" s="321">
        <v>0</v>
      </c>
      <c r="DE30" s="321">
        <v>-471190955</v>
      </c>
      <c r="DF30" s="321"/>
      <c r="DG30" s="321"/>
      <c r="DH30" s="323">
        <v>-471190955</v>
      </c>
    </row>
    <row r="31" spans="1:112" s="324" customFormat="1">
      <c r="A31" s="320" t="s">
        <v>410</v>
      </c>
      <c r="B31" s="321">
        <v>12940754388</v>
      </c>
      <c r="C31" s="321">
        <v>5605574756</v>
      </c>
      <c r="D31" s="321">
        <v>5605574756</v>
      </c>
      <c r="E31" s="321">
        <v>362697985</v>
      </c>
      <c r="F31" s="321">
        <v>7205062568</v>
      </c>
      <c r="G31" s="321">
        <v>7205062568</v>
      </c>
      <c r="H31" s="321">
        <v>0</v>
      </c>
      <c r="I31" s="321">
        <v>0</v>
      </c>
      <c r="J31" s="321"/>
      <c r="K31" s="321">
        <v>0</v>
      </c>
      <c r="L31" s="321">
        <v>130117064</v>
      </c>
      <c r="M31" s="321">
        <v>0</v>
      </c>
      <c r="N31" s="321">
        <v>30000000</v>
      </c>
      <c r="O31" s="321">
        <v>100117064</v>
      </c>
      <c r="P31" s="321">
        <v>0</v>
      </c>
      <c r="Q31" s="321">
        <v>0</v>
      </c>
      <c r="R31" s="321"/>
      <c r="S31" s="321">
        <v>0</v>
      </c>
      <c r="T31" s="321">
        <v>0</v>
      </c>
      <c r="U31" s="321"/>
      <c r="V31" s="321">
        <v>12940754388</v>
      </c>
      <c r="W31" s="321">
        <v>11732965898</v>
      </c>
      <c r="X31" s="321">
        <v>5063870958</v>
      </c>
      <c r="Y31" s="321">
        <v>5063870958</v>
      </c>
      <c r="Z31" s="321">
        <v>0</v>
      </c>
      <c r="AA31" s="321">
        <v>6661866758</v>
      </c>
      <c r="AB31" s="321">
        <v>6661866758</v>
      </c>
      <c r="AC31" s="321">
        <v>0</v>
      </c>
      <c r="AD31" s="321">
        <v>0</v>
      </c>
      <c r="AE31" s="321"/>
      <c r="AF31" s="321">
        <v>0</v>
      </c>
      <c r="AG31" s="321">
        <v>7228182</v>
      </c>
      <c r="AH31" s="321">
        <v>0</v>
      </c>
      <c r="AI31" s="321">
        <v>7228182</v>
      </c>
      <c r="AJ31" s="321">
        <v>0</v>
      </c>
      <c r="AK31" s="321">
        <v>1207788490</v>
      </c>
      <c r="AL31" s="321">
        <v>541703798</v>
      </c>
      <c r="AM31" s="321">
        <v>543195810</v>
      </c>
      <c r="AN31" s="321">
        <v>0</v>
      </c>
      <c r="AO31" s="321">
        <v>122888882</v>
      </c>
      <c r="AP31" s="321">
        <v>0</v>
      </c>
      <c r="AQ31" s="321">
        <v>30000000</v>
      </c>
      <c r="AR31" s="321">
        <v>92888882</v>
      </c>
      <c r="AS31" s="321">
        <v>0</v>
      </c>
      <c r="AT31" s="321">
        <v>8277104614</v>
      </c>
      <c r="AU31" s="321">
        <v>1399111507</v>
      </c>
      <c r="AV31" s="321">
        <v>6877993107</v>
      </c>
      <c r="AW31" s="321">
        <v>562601666</v>
      </c>
      <c r="AX31" s="321">
        <v>326664722</v>
      </c>
      <c r="AY31" s="321">
        <v>4009469444</v>
      </c>
      <c r="AZ31" s="321">
        <v>96062830</v>
      </c>
      <c r="BA31" s="322">
        <v>25277778</v>
      </c>
      <c r="BB31" s="322">
        <v>1857916667</v>
      </c>
      <c r="BC31" s="321">
        <v>0</v>
      </c>
      <c r="BD31" s="321"/>
      <c r="BE31" s="321"/>
      <c r="BF31" s="321"/>
      <c r="BG31" s="321">
        <v>0</v>
      </c>
      <c r="BH31" s="321">
        <v>4191772984</v>
      </c>
      <c r="BI31" s="321">
        <v>0</v>
      </c>
      <c r="BJ31" s="321"/>
      <c r="BK31" s="321"/>
      <c r="BL31" s="321"/>
      <c r="BM31" s="321"/>
      <c r="BN31" s="321">
        <v>4191772984</v>
      </c>
      <c r="BO31" s="321">
        <v>2395537542</v>
      </c>
      <c r="BP31" s="321">
        <v>-471434852</v>
      </c>
      <c r="BQ31" s="321">
        <v>2267670294</v>
      </c>
      <c r="BR31" s="321"/>
      <c r="BS31" s="321"/>
      <c r="BT31" s="321"/>
      <c r="BU31" s="321"/>
      <c r="BV31" s="321"/>
      <c r="BW31" s="321"/>
      <c r="BX31" s="321">
        <v>0</v>
      </c>
      <c r="BY31" s="321">
        <v>0</v>
      </c>
      <c r="BZ31" s="321">
        <v>2973625065</v>
      </c>
      <c r="CA31" s="321">
        <v>864686400</v>
      </c>
      <c r="CB31" s="321">
        <v>113777777</v>
      </c>
      <c r="CC31" s="321">
        <v>4458919</v>
      </c>
      <c r="CD31" s="321">
        <v>24705214</v>
      </c>
      <c r="CE31" s="321">
        <v>2500000</v>
      </c>
      <c r="CF31" s="321">
        <v>2777778</v>
      </c>
      <c r="CG31" s="321">
        <v>3500000</v>
      </c>
      <c r="CH31" s="321">
        <v>180000</v>
      </c>
      <c r="CI31" s="321">
        <v>10273181</v>
      </c>
      <c r="CJ31" s="321">
        <v>6040000</v>
      </c>
      <c r="CK31" s="321">
        <v>173439630</v>
      </c>
      <c r="CL31" s="321">
        <v>3200000</v>
      </c>
      <c r="CM31" s="321">
        <v>0</v>
      </c>
      <c r="CN31" s="321">
        <v>33769500</v>
      </c>
      <c r="CO31" s="321">
        <v>210000000</v>
      </c>
      <c r="CP31" s="321">
        <v>6000000</v>
      </c>
      <c r="CQ31" s="321">
        <v>15500000</v>
      </c>
      <c r="CR31" s="321">
        <v>152000000</v>
      </c>
      <c r="CS31" s="321">
        <v>2400000</v>
      </c>
      <c r="CT31" s="321">
        <v>0</v>
      </c>
      <c r="CU31" s="321">
        <v>120416666</v>
      </c>
      <c r="CV31" s="321">
        <v>14000000</v>
      </c>
      <c r="CW31" s="321">
        <v>210000000</v>
      </c>
      <c r="CX31" s="321">
        <v>0</v>
      </c>
      <c r="CY31" s="321">
        <v>1000000000</v>
      </c>
      <c r="CZ31" s="321">
        <v>0</v>
      </c>
      <c r="DA31" s="321">
        <v>2319495055</v>
      </c>
      <c r="DB31" s="321">
        <v>0</v>
      </c>
      <c r="DC31" s="321">
        <v>0</v>
      </c>
      <c r="DD31" s="321">
        <v>0</v>
      </c>
      <c r="DE31" s="321">
        <v>2319495055</v>
      </c>
      <c r="DF31" s="321"/>
      <c r="DG31" s="321"/>
      <c r="DH31" s="323">
        <v>2319495055</v>
      </c>
    </row>
    <row r="32" spans="1:112" s="324" customFormat="1">
      <c r="A32" s="320" t="s">
        <v>411</v>
      </c>
      <c r="B32" s="321">
        <v>49533062151</v>
      </c>
      <c r="C32" s="321">
        <v>7569865528</v>
      </c>
      <c r="D32" s="321">
        <v>7207167543</v>
      </c>
      <c r="E32" s="321">
        <v>1523331536</v>
      </c>
      <c r="F32" s="321">
        <v>41933196623</v>
      </c>
      <c r="G32" s="321">
        <v>6989093106</v>
      </c>
      <c r="H32" s="321">
        <v>34944103517</v>
      </c>
      <c r="I32" s="321">
        <v>0</v>
      </c>
      <c r="J32" s="321"/>
      <c r="K32" s="321">
        <v>0</v>
      </c>
      <c r="L32" s="321">
        <v>30000000</v>
      </c>
      <c r="M32" s="321">
        <v>0</v>
      </c>
      <c r="N32" s="321">
        <v>30000000</v>
      </c>
      <c r="O32" s="321">
        <v>0</v>
      </c>
      <c r="P32" s="321">
        <v>0</v>
      </c>
      <c r="Q32" s="321">
        <v>0</v>
      </c>
      <c r="R32" s="321"/>
      <c r="S32" s="321">
        <v>0</v>
      </c>
      <c r="T32" s="321">
        <v>0</v>
      </c>
      <c r="U32" s="321"/>
      <c r="V32" s="321">
        <v>49533062151</v>
      </c>
      <c r="W32" s="321">
        <v>45778470589</v>
      </c>
      <c r="X32" s="321">
        <v>6840416674</v>
      </c>
      <c r="Y32" s="321">
        <v>6510691233</v>
      </c>
      <c r="Z32" s="321">
        <v>329725441</v>
      </c>
      <c r="AA32" s="321">
        <v>38930825733</v>
      </c>
      <c r="AB32" s="321">
        <v>6460980595</v>
      </c>
      <c r="AC32" s="321">
        <v>32469845138</v>
      </c>
      <c r="AD32" s="321">
        <v>0</v>
      </c>
      <c r="AE32" s="321"/>
      <c r="AF32" s="321">
        <v>0</v>
      </c>
      <c r="AG32" s="321">
        <v>7228182</v>
      </c>
      <c r="AH32" s="321">
        <v>0</v>
      </c>
      <c r="AI32" s="321">
        <v>7228182</v>
      </c>
      <c r="AJ32" s="321">
        <v>0</v>
      </c>
      <c r="AK32" s="321">
        <v>3754591562</v>
      </c>
      <c r="AL32" s="321">
        <v>729448854</v>
      </c>
      <c r="AM32" s="321">
        <v>3002370890</v>
      </c>
      <c r="AN32" s="321">
        <v>0</v>
      </c>
      <c r="AO32" s="321">
        <v>22771818</v>
      </c>
      <c r="AP32" s="321">
        <v>0</v>
      </c>
      <c r="AQ32" s="321">
        <v>30000000</v>
      </c>
      <c r="AR32" s="321">
        <v>-7228182</v>
      </c>
      <c r="AS32" s="321">
        <v>0</v>
      </c>
      <c r="AT32" s="321">
        <v>583255055</v>
      </c>
      <c r="AU32" s="321">
        <v>1900000</v>
      </c>
      <c r="AV32" s="321">
        <v>581355055</v>
      </c>
      <c r="AW32" s="321">
        <v>581355055</v>
      </c>
      <c r="AX32" s="321">
        <v>0</v>
      </c>
      <c r="AY32" s="321">
        <v>0</v>
      </c>
      <c r="AZ32" s="321">
        <v>0</v>
      </c>
      <c r="BA32" s="322">
        <v>0</v>
      </c>
      <c r="BB32" s="322">
        <v>0</v>
      </c>
      <c r="BC32" s="321">
        <v>0</v>
      </c>
      <c r="BD32" s="321"/>
      <c r="BE32" s="321"/>
      <c r="BF32" s="321"/>
      <c r="BG32" s="321">
        <v>0</v>
      </c>
      <c r="BH32" s="321">
        <v>0</v>
      </c>
      <c r="BI32" s="321">
        <v>0</v>
      </c>
      <c r="BJ32" s="321"/>
      <c r="BK32" s="321"/>
      <c r="BL32" s="321"/>
      <c r="BM32" s="321"/>
      <c r="BN32" s="321">
        <v>0</v>
      </c>
      <c r="BO32" s="321"/>
      <c r="BP32" s="321"/>
      <c r="BQ32" s="321"/>
      <c r="BR32" s="321"/>
      <c r="BS32" s="321"/>
      <c r="BT32" s="321"/>
      <c r="BU32" s="321"/>
      <c r="BV32" s="321"/>
      <c r="BW32" s="321"/>
      <c r="BX32" s="321">
        <v>0</v>
      </c>
      <c r="BY32" s="321">
        <v>0</v>
      </c>
      <c r="BZ32" s="321">
        <v>1581382139</v>
      </c>
      <c r="CA32" s="321">
        <v>699186400</v>
      </c>
      <c r="CB32" s="321">
        <v>113777777</v>
      </c>
      <c r="CC32" s="321">
        <v>4458919</v>
      </c>
      <c r="CD32" s="321">
        <v>24705214</v>
      </c>
      <c r="CE32" s="321">
        <v>2500000</v>
      </c>
      <c r="CF32" s="321">
        <v>1851852</v>
      </c>
      <c r="CG32" s="321">
        <v>1300000</v>
      </c>
      <c r="CH32" s="321">
        <v>180000</v>
      </c>
      <c r="CI32" s="321">
        <v>10056181</v>
      </c>
      <c r="CJ32" s="321">
        <v>6040000</v>
      </c>
      <c r="CK32" s="321">
        <v>173439630</v>
      </c>
      <c r="CL32" s="321">
        <v>3200000</v>
      </c>
      <c r="CM32" s="321">
        <v>0</v>
      </c>
      <c r="CN32" s="321">
        <v>31769500</v>
      </c>
      <c r="CO32" s="321">
        <v>0</v>
      </c>
      <c r="CP32" s="321">
        <v>6000000</v>
      </c>
      <c r="CQ32" s="321">
        <v>15500000</v>
      </c>
      <c r="CR32" s="321">
        <v>97000000</v>
      </c>
      <c r="CS32" s="321">
        <v>0</v>
      </c>
      <c r="CT32" s="321">
        <v>46000000</v>
      </c>
      <c r="CU32" s="321">
        <v>120416666</v>
      </c>
      <c r="CV32" s="321">
        <v>14000000</v>
      </c>
      <c r="CW32" s="321">
        <v>10000000</v>
      </c>
      <c r="CX32" s="321">
        <v>0</v>
      </c>
      <c r="CY32" s="321">
        <v>200000000</v>
      </c>
      <c r="CZ32" s="321">
        <v>0</v>
      </c>
      <c r="DA32" s="321">
        <v>2756464478</v>
      </c>
      <c r="DB32" s="321">
        <v>0</v>
      </c>
      <c r="DC32" s="321">
        <v>0</v>
      </c>
      <c r="DD32" s="321">
        <v>0</v>
      </c>
      <c r="DE32" s="321">
        <v>2756464478</v>
      </c>
      <c r="DF32" s="321"/>
      <c r="DG32" s="321"/>
      <c r="DH32" s="323">
        <v>2756464478</v>
      </c>
    </row>
    <row r="33" spans="1:112" s="324" customFormat="1">
      <c r="A33" s="320" t="s">
        <v>412</v>
      </c>
      <c r="B33" s="321">
        <v>84816242627</v>
      </c>
      <c r="C33" s="321">
        <v>10096362694</v>
      </c>
      <c r="D33" s="321">
        <v>8573031158</v>
      </c>
      <c r="E33" s="321">
        <v>1740950327</v>
      </c>
      <c r="F33" s="321">
        <v>74699879933</v>
      </c>
      <c r="G33" s="321">
        <v>7476076683</v>
      </c>
      <c r="H33" s="321">
        <v>67223803250</v>
      </c>
      <c r="I33" s="321">
        <v>0</v>
      </c>
      <c r="J33" s="321"/>
      <c r="K33" s="321">
        <v>0</v>
      </c>
      <c r="L33" s="321">
        <v>20000000</v>
      </c>
      <c r="M33" s="321">
        <v>0</v>
      </c>
      <c r="N33" s="321">
        <v>20000000</v>
      </c>
      <c r="O33" s="321">
        <v>0</v>
      </c>
      <c r="P33" s="321">
        <v>0</v>
      </c>
      <c r="Q33" s="321">
        <v>0</v>
      </c>
      <c r="R33" s="321"/>
      <c r="S33" s="321">
        <v>0</v>
      </c>
      <c r="T33" s="321">
        <v>0</v>
      </c>
      <c r="U33" s="321"/>
      <c r="V33" s="321">
        <v>84816242627</v>
      </c>
      <c r="W33" s="321">
        <v>78766092027</v>
      </c>
      <c r="X33" s="321">
        <v>9123472526</v>
      </c>
      <c r="Y33" s="321">
        <v>7738625675</v>
      </c>
      <c r="Z33" s="321">
        <v>1384846851</v>
      </c>
      <c r="AA33" s="321">
        <v>69635391319</v>
      </c>
      <c r="AB33" s="321">
        <v>6911515363</v>
      </c>
      <c r="AC33" s="321">
        <v>62723875956</v>
      </c>
      <c r="AD33" s="321">
        <v>0</v>
      </c>
      <c r="AE33" s="321"/>
      <c r="AF33" s="321">
        <v>0</v>
      </c>
      <c r="AG33" s="321">
        <v>7228182</v>
      </c>
      <c r="AH33" s="321">
        <v>0</v>
      </c>
      <c r="AI33" s="321">
        <v>7228182</v>
      </c>
      <c r="AJ33" s="321">
        <v>0</v>
      </c>
      <c r="AK33" s="321">
        <v>6050150600</v>
      </c>
      <c r="AL33" s="321">
        <v>972890168</v>
      </c>
      <c r="AM33" s="321">
        <v>5064488614</v>
      </c>
      <c r="AN33" s="321">
        <v>0</v>
      </c>
      <c r="AO33" s="321">
        <v>12771818</v>
      </c>
      <c r="AP33" s="321">
        <v>0</v>
      </c>
      <c r="AQ33" s="321">
        <v>20000000</v>
      </c>
      <c r="AR33" s="321">
        <v>-7228182</v>
      </c>
      <c r="AS33" s="321">
        <v>0</v>
      </c>
      <c r="AT33" s="321">
        <v>564501666</v>
      </c>
      <c r="AU33" s="321">
        <v>1900000</v>
      </c>
      <c r="AV33" s="321">
        <v>562601666</v>
      </c>
      <c r="AW33" s="321">
        <v>562601666</v>
      </c>
      <c r="AX33" s="321">
        <v>0</v>
      </c>
      <c r="AY33" s="321">
        <v>0</v>
      </c>
      <c r="AZ33" s="321">
        <v>0</v>
      </c>
      <c r="BA33" s="322">
        <v>0</v>
      </c>
      <c r="BB33" s="322">
        <v>0</v>
      </c>
      <c r="BC33" s="321">
        <v>0</v>
      </c>
      <c r="BD33" s="321"/>
      <c r="BE33" s="321"/>
      <c r="BF33" s="321"/>
      <c r="BG33" s="321">
        <v>0</v>
      </c>
      <c r="BH33" s="321">
        <v>0</v>
      </c>
      <c r="BI33" s="321">
        <v>0</v>
      </c>
      <c r="BJ33" s="321"/>
      <c r="BK33" s="321"/>
      <c r="BL33" s="321"/>
      <c r="BM33" s="321"/>
      <c r="BN33" s="321">
        <v>0</v>
      </c>
      <c r="BO33" s="321"/>
      <c r="BP33" s="321"/>
      <c r="BQ33" s="321"/>
      <c r="BR33" s="321"/>
      <c r="BS33" s="321"/>
      <c r="BT33" s="321"/>
      <c r="BU33" s="321"/>
      <c r="BV33" s="321"/>
      <c r="BW33" s="321"/>
      <c r="BX33" s="321">
        <v>0</v>
      </c>
      <c r="BY33" s="321">
        <v>0</v>
      </c>
      <c r="BZ33" s="321">
        <v>1347582139</v>
      </c>
      <c r="CA33" s="321">
        <v>699686400</v>
      </c>
      <c r="CB33" s="321">
        <v>117777777</v>
      </c>
      <c r="CC33" s="321">
        <v>4458919</v>
      </c>
      <c r="CD33" s="321">
        <v>24705214</v>
      </c>
      <c r="CE33" s="321">
        <v>2500000</v>
      </c>
      <c r="CF33" s="321">
        <v>1851852</v>
      </c>
      <c r="CG33" s="321">
        <v>3000000</v>
      </c>
      <c r="CH33" s="321">
        <v>180000</v>
      </c>
      <c r="CI33" s="321">
        <v>10056181</v>
      </c>
      <c r="CJ33" s="321">
        <v>6040000</v>
      </c>
      <c r="CK33" s="321">
        <v>173439630</v>
      </c>
      <c r="CL33" s="321">
        <v>3200000</v>
      </c>
      <c r="CM33" s="321">
        <v>0</v>
      </c>
      <c r="CN33" s="321">
        <v>32769500</v>
      </c>
      <c r="CO33" s="321">
        <v>0</v>
      </c>
      <c r="CP33" s="321">
        <v>6000000</v>
      </c>
      <c r="CQ33" s="321">
        <v>15500000</v>
      </c>
      <c r="CR33" s="321">
        <v>97000000</v>
      </c>
      <c r="CS33" s="321">
        <v>0</v>
      </c>
      <c r="CT33" s="321">
        <v>10000000</v>
      </c>
      <c r="CU33" s="321">
        <v>115416666</v>
      </c>
      <c r="CV33" s="321">
        <v>14000000</v>
      </c>
      <c r="CW33" s="321">
        <v>10000000</v>
      </c>
      <c r="CX33" s="321">
        <v>0</v>
      </c>
      <c r="CY33" s="321">
        <v>0</v>
      </c>
      <c r="CZ33" s="321">
        <v>0</v>
      </c>
      <c r="DA33" s="321">
        <v>5267070127</v>
      </c>
      <c r="DB33" s="321">
        <v>0</v>
      </c>
      <c r="DC33" s="321">
        <v>0</v>
      </c>
      <c r="DD33" s="321">
        <v>0</v>
      </c>
      <c r="DE33" s="321">
        <v>5267070127</v>
      </c>
      <c r="DF33" s="321"/>
      <c r="DG33" s="321"/>
      <c r="DH33" s="323">
        <v>5267070127</v>
      </c>
    </row>
    <row r="34" spans="1:112" s="324" customFormat="1">
      <c r="A34" s="320" t="s">
        <v>413</v>
      </c>
      <c r="B34" s="321">
        <v>72959961527</v>
      </c>
      <c r="C34" s="321">
        <v>9748914264</v>
      </c>
      <c r="D34" s="321">
        <v>8007963937</v>
      </c>
      <c r="E34" s="321">
        <v>0</v>
      </c>
      <c r="F34" s="321">
        <v>63101560867</v>
      </c>
      <c r="G34" s="321">
        <v>5212793229</v>
      </c>
      <c r="H34" s="321">
        <v>57888767638</v>
      </c>
      <c r="I34" s="321">
        <v>0</v>
      </c>
      <c r="J34" s="321"/>
      <c r="K34" s="321">
        <v>0</v>
      </c>
      <c r="L34" s="321">
        <v>109486396</v>
      </c>
      <c r="M34" s="321">
        <v>0</v>
      </c>
      <c r="N34" s="321">
        <v>20000000</v>
      </c>
      <c r="O34" s="321">
        <v>89486396</v>
      </c>
      <c r="P34" s="321">
        <v>0</v>
      </c>
      <c r="Q34" s="321">
        <v>0</v>
      </c>
      <c r="R34" s="321"/>
      <c r="S34" s="321">
        <v>0</v>
      </c>
      <c r="T34" s="321">
        <v>0</v>
      </c>
      <c r="U34" s="321"/>
      <c r="V34" s="321">
        <v>72959961527</v>
      </c>
      <c r="W34" s="321">
        <v>67791910047</v>
      </c>
      <c r="X34" s="321">
        <v>8816783484</v>
      </c>
      <c r="Y34" s="321">
        <v>7234101369</v>
      </c>
      <c r="Z34" s="321">
        <v>1582682115</v>
      </c>
      <c r="AA34" s="321">
        <v>58967898381</v>
      </c>
      <c r="AB34" s="321">
        <v>4819057676</v>
      </c>
      <c r="AC34" s="321">
        <v>54148840705</v>
      </c>
      <c r="AD34" s="321">
        <v>0</v>
      </c>
      <c r="AE34" s="321"/>
      <c r="AF34" s="321">
        <v>0</v>
      </c>
      <c r="AG34" s="321">
        <v>7228182</v>
      </c>
      <c r="AH34" s="321">
        <v>0</v>
      </c>
      <c r="AI34" s="321">
        <v>7228182</v>
      </c>
      <c r="AJ34" s="321">
        <v>0</v>
      </c>
      <c r="AK34" s="321">
        <v>5168051480</v>
      </c>
      <c r="AL34" s="321">
        <v>932130780</v>
      </c>
      <c r="AM34" s="321">
        <v>4133662486</v>
      </c>
      <c r="AN34" s="321">
        <v>0</v>
      </c>
      <c r="AO34" s="321">
        <v>102258214</v>
      </c>
      <c r="AP34" s="321">
        <v>0</v>
      </c>
      <c r="AQ34" s="321">
        <v>20000000</v>
      </c>
      <c r="AR34" s="321">
        <v>82258214</v>
      </c>
      <c r="AS34" s="321">
        <v>0</v>
      </c>
      <c r="AT34" s="321">
        <v>7847517833</v>
      </c>
      <c r="AU34" s="321">
        <v>1414465479</v>
      </c>
      <c r="AV34" s="321">
        <v>6433052354</v>
      </c>
      <c r="AW34" s="321">
        <v>562601666</v>
      </c>
      <c r="AX34" s="321">
        <v>330254444</v>
      </c>
      <c r="AY34" s="321">
        <v>3539188889</v>
      </c>
      <c r="AZ34" s="321">
        <v>97118466</v>
      </c>
      <c r="BA34" s="322">
        <v>25555556</v>
      </c>
      <c r="BB34" s="322">
        <v>1878333333</v>
      </c>
      <c r="BC34" s="321">
        <v>0</v>
      </c>
      <c r="BD34" s="321"/>
      <c r="BE34" s="321"/>
      <c r="BF34" s="321"/>
      <c r="BG34" s="321">
        <v>0</v>
      </c>
      <c r="BH34" s="321">
        <v>359338153</v>
      </c>
      <c r="BI34" s="321">
        <v>0</v>
      </c>
      <c r="BJ34" s="321"/>
      <c r="BK34" s="321"/>
      <c r="BL34" s="321"/>
      <c r="BM34" s="321"/>
      <c r="BN34" s="321">
        <v>359338153</v>
      </c>
      <c r="BO34" s="321">
        <v>234033318</v>
      </c>
      <c r="BP34" s="321">
        <v>-1510116361</v>
      </c>
      <c r="BQ34" s="321">
        <v>1635421196</v>
      </c>
      <c r="BR34" s="321"/>
      <c r="BS34" s="321"/>
      <c r="BT34" s="321"/>
      <c r="BU34" s="321"/>
      <c r="BV34" s="321"/>
      <c r="BW34" s="321"/>
      <c r="BX34" s="321">
        <v>0</v>
      </c>
      <c r="BY34" s="321">
        <v>0</v>
      </c>
      <c r="BZ34" s="321">
        <v>1627122139</v>
      </c>
      <c r="CA34" s="321">
        <v>732686400</v>
      </c>
      <c r="CB34" s="321">
        <v>113777777</v>
      </c>
      <c r="CC34" s="321">
        <v>4458919</v>
      </c>
      <c r="CD34" s="321">
        <v>24705214</v>
      </c>
      <c r="CE34" s="321">
        <v>2500000</v>
      </c>
      <c r="CF34" s="321">
        <v>1851852</v>
      </c>
      <c r="CG34" s="321">
        <v>1500000</v>
      </c>
      <c r="CH34" s="321">
        <v>180000</v>
      </c>
      <c r="CI34" s="321">
        <v>20596181</v>
      </c>
      <c r="CJ34" s="321">
        <v>5540000</v>
      </c>
      <c r="CK34" s="321">
        <v>173439630</v>
      </c>
      <c r="CL34" s="321">
        <v>3200000</v>
      </c>
      <c r="CM34" s="321">
        <v>0</v>
      </c>
      <c r="CN34" s="321">
        <v>29769500</v>
      </c>
      <c r="CO34" s="321">
        <v>0</v>
      </c>
      <c r="CP34" s="321">
        <v>6000000</v>
      </c>
      <c r="CQ34" s="321">
        <v>15500000</v>
      </c>
      <c r="CR34" s="321">
        <v>142000000</v>
      </c>
      <c r="CS34" s="321">
        <v>0</v>
      </c>
      <c r="CT34" s="321">
        <v>10000000</v>
      </c>
      <c r="CU34" s="321">
        <v>115416666</v>
      </c>
      <c r="CV34" s="321">
        <v>14000000</v>
      </c>
      <c r="CW34" s="321">
        <v>210000000</v>
      </c>
      <c r="CX34" s="321">
        <v>0</v>
      </c>
      <c r="CY34" s="321">
        <v>0</v>
      </c>
      <c r="CZ34" s="321">
        <v>0</v>
      </c>
      <c r="DA34" s="321">
        <v>11029109021</v>
      </c>
      <c r="DB34" s="321">
        <v>0</v>
      </c>
      <c r="DC34" s="321">
        <v>0</v>
      </c>
      <c r="DD34" s="321">
        <v>0</v>
      </c>
      <c r="DE34" s="321">
        <v>11029109021</v>
      </c>
      <c r="DF34" s="321"/>
      <c r="DG34" s="321"/>
      <c r="DH34" s="323">
        <v>11029109021</v>
      </c>
    </row>
    <row r="35" spans="1:112" s="324" customFormat="1">
      <c r="A35" s="320" t="s">
        <v>414</v>
      </c>
      <c r="B35" s="325">
        <v>12101915370</v>
      </c>
      <c r="C35" s="325">
        <v>8007963937</v>
      </c>
      <c r="D35" s="326">
        <v>8007963937</v>
      </c>
      <c r="E35" s="326">
        <v>0</v>
      </c>
      <c r="F35" s="325">
        <v>4083951433</v>
      </c>
      <c r="G35" s="325">
        <v>4083951433</v>
      </c>
      <c r="H35" s="325">
        <v>0</v>
      </c>
      <c r="I35" s="325">
        <v>0</v>
      </c>
      <c r="J35" s="326"/>
      <c r="K35" s="326">
        <v>0</v>
      </c>
      <c r="L35" s="325">
        <v>10000000</v>
      </c>
      <c r="M35" s="326">
        <v>0</v>
      </c>
      <c r="N35" s="326">
        <v>10000000</v>
      </c>
      <c r="O35" s="326">
        <v>0</v>
      </c>
      <c r="P35" s="325">
        <v>0</v>
      </c>
      <c r="Q35" s="327">
        <v>0</v>
      </c>
      <c r="R35" s="327"/>
      <c r="S35" s="327">
        <v>0</v>
      </c>
      <c r="T35" s="327">
        <v>0</v>
      </c>
      <c r="U35" s="327"/>
      <c r="V35" s="327">
        <v>12101915370</v>
      </c>
      <c r="W35" s="327">
        <v>11016993095</v>
      </c>
      <c r="X35" s="327">
        <v>7234101369</v>
      </c>
      <c r="Y35" s="327">
        <v>7234101369</v>
      </c>
      <c r="Z35" s="327">
        <v>0</v>
      </c>
      <c r="AA35" s="327">
        <v>3775663544</v>
      </c>
      <c r="AB35" s="327">
        <v>3775663544</v>
      </c>
      <c r="AC35" s="327">
        <v>0</v>
      </c>
      <c r="AD35" s="327">
        <v>0</v>
      </c>
      <c r="AE35" s="327"/>
      <c r="AF35" s="327">
        <v>0</v>
      </c>
      <c r="AG35" s="325">
        <v>7228182</v>
      </c>
      <c r="AH35" s="328">
        <v>0</v>
      </c>
      <c r="AI35" s="326">
        <v>7228182</v>
      </c>
      <c r="AJ35" s="329">
        <v>0</v>
      </c>
      <c r="AK35" s="327">
        <v>1084922275</v>
      </c>
      <c r="AL35" s="325">
        <v>773862568</v>
      </c>
      <c r="AM35" s="325">
        <v>308287889</v>
      </c>
      <c r="AN35" s="325">
        <v>0</v>
      </c>
      <c r="AO35" s="325">
        <v>2771818</v>
      </c>
      <c r="AP35" s="326">
        <v>0</v>
      </c>
      <c r="AQ35" s="326">
        <v>10000000</v>
      </c>
      <c r="AR35" s="326">
        <v>-7228182</v>
      </c>
      <c r="AS35" s="325">
        <v>0</v>
      </c>
      <c r="AT35" s="325">
        <v>340583255055</v>
      </c>
      <c r="AU35" s="327">
        <v>1900000</v>
      </c>
      <c r="AV35" s="327">
        <v>581355055</v>
      </c>
      <c r="AW35" s="328">
        <v>581355055</v>
      </c>
      <c r="AX35" s="328">
        <v>0</v>
      </c>
      <c r="AY35" s="328">
        <v>0</v>
      </c>
      <c r="AZ35" s="328">
        <v>0</v>
      </c>
      <c r="BA35" s="328">
        <v>0</v>
      </c>
      <c r="BB35" s="328">
        <v>0</v>
      </c>
      <c r="BC35" s="327">
        <v>0</v>
      </c>
      <c r="BD35" s="328"/>
      <c r="BE35" s="328"/>
      <c r="BF35" s="328"/>
      <c r="BG35" s="328">
        <v>340000000000</v>
      </c>
      <c r="BH35" s="325">
        <v>0</v>
      </c>
      <c r="BI35" s="327">
        <v>0</v>
      </c>
      <c r="BJ35" s="328"/>
      <c r="BK35" s="328"/>
      <c r="BL35" s="328"/>
      <c r="BM35" s="327"/>
      <c r="BN35" s="327">
        <v>0</v>
      </c>
      <c r="BO35" s="328"/>
      <c r="BP35" s="328"/>
      <c r="BQ35" s="328"/>
      <c r="BR35" s="328"/>
      <c r="BS35" s="328"/>
      <c r="BT35" s="328"/>
      <c r="BU35" s="328"/>
      <c r="BV35" s="328"/>
      <c r="BW35" s="328"/>
      <c r="BX35" s="327">
        <v>0</v>
      </c>
      <c r="BY35" s="327">
        <v>0</v>
      </c>
      <c r="BZ35" s="327">
        <v>1462165472</v>
      </c>
      <c r="CA35" s="327">
        <v>706986400</v>
      </c>
      <c r="CB35" s="327">
        <v>114777777</v>
      </c>
      <c r="CC35" s="327">
        <v>4458919</v>
      </c>
      <c r="CD35" s="327">
        <v>24705214</v>
      </c>
      <c r="CE35" s="327">
        <v>2500000</v>
      </c>
      <c r="CF35" s="327">
        <v>1851852</v>
      </c>
      <c r="CG35" s="327">
        <v>16200000</v>
      </c>
      <c r="CH35" s="327">
        <v>180000</v>
      </c>
      <c r="CI35" s="327">
        <v>8639514</v>
      </c>
      <c r="CJ35" s="327">
        <v>5540000</v>
      </c>
      <c r="CK35" s="327">
        <v>173439630</v>
      </c>
      <c r="CL35" s="327">
        <v>3200000</v>
      </c>
      <c r="CM35" s="327">
        <v>0</v>
      </c>
      <c r="CN35" s="327">
        <v>31769500</v>
      </c>
      <c r="CO35" s="327">
        <v>0</v>
      </c>
      <c r="CP35" s="327">
        <v>6000000</v>
      </c>
      <c r="CQ35" s="327">
        <v>15500000</v>
      </c>
      <c r="CR35" s="327">
        <v>202000000</v>
      </c>
      <c r="CS35" s="327">
        <v>0</v>
      </c>
      <c r="CT35" s="327">
        <v>0</v>
      </c>
      <c r="CU35" s="327">
        <v>120416666</v>
      </c>
      <c r="CV35" s="327">
        <v>14000000</v>
      </c>
      <c r="CW35" s="327">
        <v>10000000</v>
      </c>
      <c r="CX35" s="327">
        <v>0</v>
      </c>
      <c r="CY35" s="327">
        <v>0</v>
      </c>
      <c r="CZ35" s="327">
        <v>0</v>
      </c>
      <c r="DA35" s="327">
        <v>340206011858</v>
      </c>
      <c r="DB35" s="327">
        <v>0</v>
      </c>
      <c r="DC35" s="327">
        <v>0</v>
      </c>
      <c r="DD35" s="327">
        <v>0</v>
      </c>
      <c r="DE35" s="327">
        <v>340206011858</v>
      </c>
      <c r="DF35" s="327"/>
      <c r="DG35" s="327"/>
      <c r="DH35" s="327">
        <v>340206011858</v>
      </c>
    </row>
    <row r="36" spans="1:112" s="324" customFormat="1">
      <c r="A36" s="320" t="s">
        <v>415</v>
      </c>
      <c r="B36" s="321">
        <v>8966700330</v>
      </c>
      <c r="C36" s="321">
        <v>6123837539</v>
      </c>
      <c r="D36" s="321">
        <v>6123837539</v>
      </c>
      <c r="E36" s="321">
        <v>0</v>
      </c>
      <c r="F36" s="321">
        <v>2832862791</v>
      </c>
      <c r="G36" s="321">
        <v>2832862791</v>
      </c>
      <c r="H36" s="321">
        <v>0</v>
      </c>
      <c r="I36" s="321">
        <v>0</v>
      </c>
      <c r="J36" s="321"/>
      <c r="K36" s="321">
        <v>0</v>
      </c>
      <c r="L36" s="321">
        <v>10000000</v>
      </c>
      <c r="M36" s="321">
        <v>0</v>
      </c>
      <c r="N36" s="321">
        <v>10000000</v>
      </c>
      <c r="O36" s="321">
        <v>0</v>
      </c>
      <c r="P36" s="321">
        <v>0</v>
      </c>
      <c r="Q36" s="321">
        <v>0</v>
      </c>
      <c r="R36" s="321"/>
      <c r="S36" s="321">
        <v>0</v>
      </c>
      <c r="T36" s="321">
        <v>0</v>
      </c>
      <c r="U36" s="321"/>
      <c r="V36" s="321">
        <v>8966700330</v>
      </c>
      <c r="W36" s="321">
        <v>8161586611</v>
      </c>
      <c r="X36" s="321">
        <v>5535018942</v>
      </c>
      <c r="Y36" s="321">
        <v>5535018942</v>
      </c>
      <c r="Z36" s="321">
        <v>0</v>
      </c>
      <c r="AA36" s="321">
        <v>2619339487</v>
      </c>
      <c r="AB36" s="321">
        <v>2619339487</v>
      </c>
      <c r="AC36" s="321">
        <v>0</v>
      </c>
      <c r="AD36" s="321">
        <v>0</v>
      </c>
      <c r="AE36" s="321"/>
      <c r="AF36" s="321">
        <v>0</v>
      </c>
      <c r="AG36" s="321">
        <v>7228182</v>
      </c>
      <c r="AH36" s="321">
        <v>0</v>
      </c>
      <c r="AI36" s="321">
        <v>7228182</v>
      </c>
      <c r="AJ36" s="321">
        <v>0</v>
      </c>
      <c r="AK36" s="321">
        <v>805113719</v>
      </c>
      <c r="AL36" s="321">
        <v>588818597</v>
      </c>
      <c r="AM36" s="321">
        <v>213523304</v>
      </c>
      <c r="AN36" s="321">
        <v>0</v>
      </c>
      <c r="AO36" s="321">
        <v>2771818</v>
      </c>
      <c r="AP36" s="321">
        <v>0</v>
      </c>
      <c r="AQ36" s="321">
        <v>10000000</v>
      </c>
      <c r="AR36" s="321">
        <v>-7228182</v>
      </c>
      <c r="AS36" s="321">
        <v>0</v>
      </c>
      <c r="AT36" s="321">
        <v>564501666</v>
      </c>
      <c r="AU36" s="321">
        <v>1900000</v>
      </c>
      <c r="AV36" s="321">
        <v>562601666</v>
      </c>
      <c r="AW36" s="321">
        <v>562601666</v>
      </c>
      <c r="AX36" s="321">
        <v>0</v>
      </c>
      <c r="AY36" s="321">
        <v>0</v>
      </c>
      <c r="AZ36" s="321">
        <v>0</v>
      </c>
      <c r="BA36" s="322">
        <v>0</v>
      </c>
      <c r="BB36" s="322">
        <v>0</v>
      </c>
      <c r="BC36" s="321">
        <v>0</v>
      </c>
      <c r="BD36" s="321"/>
      <c r="BE36" s="321"/>
      <c r="BF36" s="321"/>
      <c r="BG36" s="321">
        <v>0</v>
      </c>
      <c r="BH36" s="321">
        <v>0</v>
      </c>
      <c r="BI36" s="321">
        <v>0</v>
      </c>
      <c r="BJ36" s="321"/>
      <c r="BK36" s="321"/>
      <c r="BL36" s="321"/>
      <c r="BM36" s="321"/>
      <c r="BN36" s="321">
        <v>0</v>
      </c>
      <c r="BO36" s="321"/>
      <c r="BP36" s="321"/>
      <c r="BQ36" s="321"/>
      <c r="BR36" s="321"/>
      <c r="BS36" s="321"/>
      <c r="BT36" s="321"/>
      <c r="BU36" s="321"/>
      <c r="BV36" s="321"/>
      <c r="BW36" s="321"/>
      <c r="BX36" s="321">
        <v>0</v>
      </c>
      <c r="BY36" s="321">
        <v>0</v>
      </c>
      <c r="BZ36" s="321">
        <v>4434880472</v>
      </c>
      <c r="CA36" s="321">
        <v>699186400</v>
      </c>
      <c r="CB36" s="321">
        <v>113777777</v>
      </c>
      <c r="CC36" s="321">
        <v>4458919</v>
      </c>
      <c r="CD36" s="321">
        <v>24705214</v>
      </c>
      <c r="CE36" s="321">
        <v>2500000</v>
      </c>
      <c r="CF36" s="321">
        <v>1851852</v>
      </c>
      <c r="CG36" s="321">
        <v>2000000</v>
      </c>
      <c r="CH36" s="321">
        <v>180000</v>
      </c>
      <c r="CI36" s="321">
        <v>8639514</v>
      </c>
      <c r="CJ36" s="321">
        <v>5540000</v>
      </c>
      <c r="CK36" s="321">
        <v>173439630</v>
      </c>
      <c r="CL36" s="321">
        <v>3200000</v>
      </c>
      <c r="CM36" s="321">
        <v>85215000</v>
      </c>
      <c r="CN36" s="321">
        <v>35269500</v>
      </c>
      <c r="CO36" s="321">
        <v>0</v>
      </c>
      <c r="CP36" s="321">
        <v>6000000</v>
      </c>
      <c r="CQ36" s="321">
        <v>15500000</v>
      </c>
      <c r="CR36" s="321">
        <v>97000000</v>
      </c>
      <c r="CS36" s="321">
        <v>0</v>
      </c>
      <c r="CT36" s="321">
        <v>14000000</v>
      </c>
      <c r="CU36" s="321">
        <v>3118416666</v>
      </c>
      <c r="CV36" s="321">
        <v>14000000</v>
      </c>
      <c r="CW36" s="321">
        <v>10000000</v>
      </c>
      <c r="CX36" s="321">
        <v>0</v>
      </c>
      <c r="CY36" s="321">
        <v>0</v>
      </c>
      <c r="CZ36" s="321">
        <v>0</v>
      </c>
      <c r="DA36" s="321">
        <v>-3065265087</v>
      </c>
      <c r="DB36" s="321">
        <v>0</v>
      </c>
      <c r="DC36" s="321">
        <v>0</v>
      </c>
      <c r="DD36" s="321">
        <v>0</v>
      </c>
      <c r="DE36" s="321">
        <v>-3065265087</v>
      </c>
      <c r="DF36" s="321"/>
      <c r="DG36" s="321"/>
      <c r="DH36" s="323">
        <v>-3065265087</v>
      </c>
    </row>
    <row r="37" spans="1:112" s="324" customFormat="1">
      <c r="A37" s="320" t="s">
        <v>416</v>
      </c>
      <c r="B37" s="321">
        <v>12197004342</v>
      </c>
      <c r="C37" s="321">
        <v>9609556723</v>
      </c>
      <c r="D37" s="321">
        <v>9609556723</v>
      </c>
      <c r="E37" s="321">
        <v>0</v>
      </c>
      <c r="F37" s="321">
        <v>2481035063</v>
      </c>
      <c r="G37" s="321">
        <v>2481035063</v>
      </c>
      <c r="H37" s="321">
        <v>0</v>
      </c>
      <c r="I37" s="321">
        <v>0</v>
      </c>
      <c r="J37" s="321"/>
      <c r="K37" s="321">
        <v>0</v>
      </c>
      <c r="L37" s="321">
        <v>106412556</v>
      </c>
      <c r="M37" s="321">
        <v>0</v>
      </c>
      <c r="N37" s="321">
        <v>10000000</v>
      </c>
      <c r="O37" s="321">
        <v>96412556</v>
      </c>
      <c r="P37" s="321">
        <v>0</v>
      </c>
      <c r="Q37" s="321">
        <v>0</v>
      </c>
      <c r="R37" s="321"/>
      <c r="S37" s="321">
        <v>0</v>
      </c>
      <c r="T37" s="321">
        <v>0</v>
      </c>
      <c r="U37" s="321"/>
      <c r="V37" s="321">
        <v>12197004342</v>
      </c>
      <c r="W37" s="321">
        <v>10983417799</v>
      </c>
      <c r="X37" s="321">
        <v>8680921643</v>
      </c>
      <c r="Y37" s="321">
        <v>8680921643</v>
      </c>
      <c r="Z37" s="321">
        <v>0</v>
      </c>
      <c r="AA37" s="321">
        <v>2295267974</v>
      </c>
      <c r="AB37" s="321">
        <v>2295267974</v>
      </c>
      <c r="AC37" s="321">
        <v>0</v>
      </c>
      <c r="AD37" s="321">
        <v>0</v>
      </c>
      <c r="AE37" s="321"/>
      <c r="AF37" s="321">
        <v>0</v>
      </c>
      <c r="AG37" s="321">
        <v>7228182</v>
      </c>
      <c r="AH37" s="321">
        <v>0</v>
      </c>
      <c r="AI37" s="321">
        <v>7228182</v>
      </c>
      <c r="AJ37" s="321">
        <v>0</v>
      </c>
      <c r="AK37" s="321">
        <v>1213586543</v>
      </c>
      <c r="AL37" s="321">
        <v>928635080</v>
      </c>
      <c r="AM37" s="321">
        <v>185767089</v>
      </c>
      <c r="AN37" s="321">
        <v>0</v>
      </c>
      <c r="AO37" s="321">
        <v>99184374</v>
      </c>
      <c r="AP37" s="321">
        <v>0</v>
      </c>
      <c r="AQ37" s="321">
        <v>10000000</v>
      </c>
      <c r="AR37" s="321">
        <v>89184374</v>
      </c>
      <c r="AS37" s="321">
        <v>0</v>
      </c>
      <c r="AT37" s="321">
        <v>7845004555</v>
      </c>
      <c r="AU37" s="321">
        <v>1414465479</v>
      </c>
      <c r="AV37" s="321">
        <v>6430539076</v>
      </c>
      <c r="AW37" s="321">
        <v>581355055</v>
      </c>
      <c r="AX37" s="321">
        <v>330254444</v>
      </c>
      <c r="AY37" s="321">
        <v>3517922222</v>
      </c>
      <c r="AZ37" s="321">
        <v>97118466</v>
      </c>
      <c r="BA37" s="322">
        <v>25555556</v>
      </c>
      <c r="BB37" s="322">
        <v>1878333333</v>
      </c>
      <c r="BC37" s="321">
        <v>0</v>
      </c>
      <c r="BD37" s="321"/>
      <c r="BE37" s="321"/>
      <c r="BF37" s="321"/>
      <c r="BG37" s="321">
        <v>0</v>
      </c>
      <c r="BH37" s="321">
        <v>5076203097</v>
      </c>
      <c r="BI37" s="321">
        <v>0</v>
      </c>
      <c r="BJ37" s="321"/>
      <c r="BK37" s="321"/>
      <c r="BL37" s="321"/>
      <c r="BM37" s="321"/>
      <c r="BN37" s="321">
        <v>5076203097</v>
      </c>
      <c r="BO37" s="321">
        <v>3795887654</v>
      </c>
      <c r="BP37" s="321">
        <v>795282645</v>
      </c>
      <c r="BQ37" s="321">
        <v>485032798</v>
      </c>
      <c r="BR37" s="321"/>
      <c r="BS37" s="321"/>
      <c r="BT37" s="321"/>
      <c r="BU37" s="321"/>
      <c r="BV37" s="321"/>
      <c r="BW37" s="321"/>
      <c r="BX37" s="321">
        <v>0</v>
      </c>
      <c r="BY37" s="321">
        <v>0</v>
      </c>
      <c r="BZ37" s="321">
        <v>2499272472</v>
      </c>
      <c r="CA37" s="321">
        <v>1373043400</v>
      </c>
      <c r="CB37" s="321">
        <v>117777777</v>
      </c>
      <c r="CC37" s="321">
        <v>4458919</v>
      </c>
      <c r="CD37" s="321">
        <v>24705214</v>
      </c>
      <c r="CE37" s="321">
        <v>2500000</v>
      </c>
      <c r="CF37" s="321">
        <v>1851852</v>
      </c>
      <c r="CG37" s="321">
        <v>3000000</v>
      </c>
      <c r="CH37" s="321">
        <v>180000</v>
      </c>
      <c r="CI37" s="321">
        <v>8639514</v>
      </c>
      <c r="CJ37" s="321">
        <v>5540000</v>
      </c>
      <c r="CK37" s="321">
        <v>173439630</v>
      </c>
      <c r="CL37" s="321">
        <v>3200000</v>
      </c>
      <c r="CM37" s="321">
        <v>0</v>
      </c>
      <c r="CN37" s="321">
        <v>31769500</v>
      </c>
      <c r="CO37" s="321">
        <v>210000000</v>
      </c>
      <c r="CP37" s="321">
        <v>6000000</v>
      </c>
      <c r="CQ37" s="321">
        <v>15500000</v>
      </c>
      <c r="CR37" s="321">
        <v>247000000</v>
      </c>
      <c r="CS37" s="321">
        <v>0</v>
      </c>
      <c r="CT37" s="321">
        <v>0</v>
      </c>
      <c r="CU37" s="321">
        <v>46666666</v>
      </c>
      <c r="CV37" s="321">
        <v>14000000</v>
      </c>
      <c r="CW37" s="321">
        <v>210000000</v>
      </c>
      <c r="CX37" s="321">
        <v>0</v>
      </c>
      <c r="CY37" s="321">
        <v>0</v>
      </c>
      <c r="CZ37" s="321">
        <v>0</v>
      </c>
      <c r="DA37" s="321">
        <v>1483115529</v>
      </c>
      <c r="DB37" s="321">
        <v>0</v>
      </c>
      <c r="DC37" s="321">
        <v>0</v>
      </c>
      <c r="DD37" s="321">
        <v>0</v>
      </c>
      <c r="DE37" s="321">
        <v>1483115529</v>
      </c>
      <c r="DF37" s="321"/>
      <c r="DG37" s="321"/>
      <c r="DH37" s="323">
        <v>1483115529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E99"/>
  <sheetViews>
    <sheetView workbookViewId="0">
      <pane ySplit="1" topLeftCell="A92" activePane="bottomLeft" state="frozen"/>
      <selection pane="bottomLeft" activeCell="D70" sqref="D70"/>
    </sheetView>
  </sheetViews>
  <sheetFormatPr defaultRowHeight="14.5"/>
  <cols>
    <col min="1" max="1" width="55.54296875" customWidth="1"/>
    <col min="2" max="2" width="52.1796875" bestFit="1" customWidth="1"/>
    <col min="3" max="3" width="20.54296875" bestFit="1" customWidth="1"/>
    <col min="4" max="4" width="31.1796875" customWidth="1"/>
  </cols>
  <sheetData>
    <row r="1" spans="1:5">
      <c r="A1" s="9" t="s">
        <v>305</v>
      </c>
      <c r="B1" s="11" t="s">
        <v>306</v>
      </c>
      <c r="C1" s="212" t="s">
        <v>307</v>
      </c>
      <c r="D1" s="11" t="s">
        <v>332</v>
      </c>
      <c r="E1" t="s">
        <v>477</v>
      </c>
    </row>
    <row r="2" spans="1:5">
      <c r="A2" s="26" t="s">
        <v>8</v>
      </c>
      <c r="B2" s="43" t="s">
        <v>10</v>
      </c>
      <c r="C2" s="213" t="s">
        <v>397</v>
      </c>
      <c r="D2" s="213" t="s">
        <v>333</v>
      </c>
    </row>
    <row r="3" spans="1:5">
      <c r="A3" s="26" t="s">
        <v>8</v>
      </c>
      <c r="B3" s="43" t="s">
        <v>12</v>
      </c>
      <c r="C3" s="213" t="s">
        <v>397</v>
      </c>
      <c r="D3" s="213" t="s">
        <v>334</v>
      </c>
    </row>
    <row r="4" spans="1:5">
      <c r="A4" s="26" t="s">
        <v>8</v>
      </c>
      <c r="B4" s="47" t="s">
        <v>13</v>
      </c>
      <c r="C4" s="213" t="s">
        <v>397</v>
      </c>
      <c r="D4" s="213" t="s">
        <v>335</v>
      </c>
    </row>
    <row r="5" spans="1:5">
      <c r="A5" s="26" t="s">
        <v>8</v>
      </c>
      <c r="B5" s="43" t="s">
        <v>14</v>
      </c>
      <c r="C5" s="213" t="s">
        <v>397</v>
      </c>
      <c r="D5" s="213" t="s">
        <v>336</v>
      </c>
    </row>
    <row r="6" spans="1:5">
      <c r="A6" s="26" t="s">
        <v>8</v>
      </c>
      <c r="B6" s="43" t="s">
        <v>16</v>
      </c>
      <c r="C6" s="213" t="s">
        <v>397</v>
      </c>
      <c r="D6" s="213" t="s">
        <v>16</v>
      </c>
    </row>
    <row r="7" spans="1:5">
      <c r="A7" s="26" t="s">
        <v>8</v>
      </c>
      <c r="B7" s="50" t="s">
        <v>18</v>
      </c>
      <c r="C7" s="213" t="s">
        <v>397</v>
      </c>
      <c r="D7" s="213" t="s">
        <v>337</v>
      </c>
    </row>
    <row r="8" spans="1:5">
      <c r="A8" s="26" t="s">
        <v>8</v>
      </c>
      <c r="B8" s="51" t="s">
        <v>19</v>
      </c>
      <c r="C8" s="213" t="s">
        <v>397</v>
      </c>
      <c r="D8" s="213" t="s">
        <v>19</v>
      </c>
    </row>
    <row r="9" spans="1:5">
      <c r="A9" s="26" t="s">
        <v>8</v>
      </c>
      <c r="B9" s="51" t="s">
        <v>21</v>
      </c>
      <c r="C9" s="213" t="s">
        <v>397</v>
      </c>
      <c r="D9" s="213" t="s">
        <v>338</v>
      </c>
    </row>
    <row r="10" spans="1:5">
      <c r="A10" s="26" t="s">
        <v>8</v>
      </c>
      <c r="B10" s="51" t="s">
        <v>22</v>
      </c>
      <c r="C10" s="213" t="s">
        <v>397</v>
      </c>
      <c r="D10" s="213" t="s">
        <v>341</v>
      </c>
    </row>
    <row r="11" spans="1:5">
      <c r="A11" s="26" t="s">
        <v>8</v>
      </c>
      <c r="B11" s="51" t="s">
        <v>23</v>
      </c>
      <c r="C11" s="213" t="s">
        <v>397</v>
      </c>
      <c r="D11" s="51" t="s">
        <v>23</v>
      </c>
    </row>
    <row r="12" spans="1:5">
      <c r="A12" s="26" t="s">
        <v>8</v>
      </c>
      <c r="B12" s="51" t="s">
        <v>24</v>
      </c>
      <c r="C12" s="213" t="s">
        <v>397</v>
      </c>
      <c r="D12" s="51" t="s">
        <v>24</v>
      </c>
    </row>
    <row r="13" spans="1:5">
      <c r="A13" s="26" t="s">
        <v>8</v>
      </c>
      <c r="B13" s="43" t="s">
        <v>26</v>
      </c>
      <c r="C13" s="213" t="s">
        <v>397</v>
      </c>
      <c r="D13" s="43" t="s">
        <v>26</v>
      </c>
    </row>
    <row r="14" spans="1:5">
      <c r="A14" s="26" t="s">
        <v>8</v>
      </c>
      <c r="B14" s="43" t="s">
        <v>27</v>
      </c>
      <c r="C14" s="213" t="s">
        <v>397</v>
      </c>
      <c r="D14" s="43" t="s">
        <v>27</v>
      </c>
    </row>
    <row r="15" spans="1:5">
      <c r="A15" s="26" t="s">
        <v>8</v>
      </c>
      <c r="B15" s="51" t="s">
        <v>29</v>
      </c>
      <c r="C15" s="213" t="s">
        <v>397</v>
      </c>
      <c r="D15" s="51" t="s">
        <v>29</v>
      </c>
    </row>
    <row r="16" spans="1:5">
      <c r="A16" s="26" t="s">
        <v>8</v>
      </c>
      <c r="B16" s="51" t="s">
        <v>30</v>
      </c>
      <c r="C16" s="213" t="s">
        <v>397</v>
      </c>
      <c r="D16" s="51" t="s">
        <v>339</v>
      </c>
    </row>
    <row r="17" spans="1:4">
      <c r="A17" s="26" t="s">
        <v>8</v>
      </c>
      <c r="B17" s="54" t="s">
        <v>31</v>
      </c>
      <c r="C17" s="213" t="s">
        <v>397</v>
      </c>
      <c r="D17" s="51" t="s">
        <v>340</v>
      </c>
    </row>
    <row r="18" spans="1:4">
      <c r="A18" s="26" t="s">
        <v>8</v>
      </c>
      <c r="B18" s="43" t="s">
        <v>471</v>
      </c>
      <c r="C18" s="213" t="s">
        <v>397</v>
      </c>
      <c r="D18" s="51" t="s">
        <v>472</v>
      </c>
    </row>
    <row r="19" spans="1:4">
      <c r="A19" s="26" t="s">
        <v>8</v>
      </c>
      <c r="B19" s="54" t="s">
        <v>34</v>
      </c>
      <c r="C19" s="213" t="s">
        <v>397</v>
      </c>
      <c r="D19" s="51" t="s">
        <v>342</v>
      </c>
    </row>
    <row r="20" spans="1:4">
      <c r="A20" s="26" t="s">
        <v>8</v>
      </c>
      <c r="B20" s="54" t="s">
        <v>35</v>
      </c>
      <c r="C20" s="213" t="s">
        <v>397</v>
      </c>
      <c r="D20" s="51" t="s">
        <v>343</v>
      </c>
    </row>
    <row r="21" spans="1:4">
      <c r="A21" s="26" t="s">
        <v>8</v>
      </c>
      <c r="B21" s="54" t="s">
        <v>479</v>
      </c>
      <c r="C21" s="213" t="s">
        <v>397</v>
      </c>
      <c r="D21" s="51" t="s">
        <v>482</v>
      </c>
    </row>
    <row r="22" spans="1:4">
      <c r="A22" s="26" t="s">
        <v>8</v>
      </c>
      <c r="B22" s="54" t="s">
        <v>37</v>
      </c>
      <c r="C22" s="213" t="s">
        <v>397</v>
      </c>
      <c r="D22" s="51" t="s">
        <v>344</v>
      </c>
    </row>
    <row r="23" spans="1:4">
      <c r="A23" s="55" t="s">
        <v>38</v>
      </c>
      <c r="B23" s="58" t="s">
        <v>39</v>
      </c>
      <c r="C23" s="213" t="s">
        <v>308</v>
      </c>
      <c r="D23" s="51" t="s">
        <v>345</v>
      </c>
    </row>
    <row r="24" spans="1:4">
      <c r="A24" s="55" t="s">
        <v>38</v>
      </c>
      <c r="B24" s="58" t="s">
        <v>40</v>
      </c>
      <c r="C24" s="213" t="s">
        <v>308</v>
      </c>
      <c r="D24" s="51" t="s">
        <v>346</v>
      </c>
    </row>
    <row r="25" spans="1:4">
      <c r="A25" s="55" t="s">
        <v>38</v>
      </c>
      <c r="B25" s="58" t="s">
        <v>43</v>
      </c>
      <c r="C25" s="213" t="s">
        <v>308</v>
      </c>
      <c r="D25" s="51" t="s">
        <v>347</v>
      </c>
    </row>
    <row r="26" spans="1:4">
      <c r="A26" s="61" t="s">
        <v>45</v>
      </c>
      <c r="B26" s="65" t="s">
        <v>46</v>
      </c>
      <c r="C26" s="213" t="s">
        <v>309</v>
      </c>
      <c r="D26" s="51" t="s">
        <v>348</v>
      </c>
    </row>
    <row r="27" spans="1:4">
      <c r="A27" s="61" t="s">
        <v>45</v>
      </c>
      <c r="B27" s="65" t="s">
        <v>48</v>
      </c>
      <c r="C27" s="213" t="s">
        <v>309</v>
      </c>
      <c r="D27" s="51" t="s">
        <v>349</v>
      </c>
    </row>
    <row r="28" spans="1:4">
      <c r="A28" s="61" t="s">
        <v>45</v>
      </c>
      <c r="B28" s="65" t="s">
        <v>50</v>
      </c>
      <c r="C28" s="213" t="s">
        <v>309</v>
      </c>
      <c r="D28" s="51" t="s">
        <v>350</v>
      </c>
    </row>
    <row r="29" spans="1:4">
      <c r="A29" s="55" t="s">
        <v>52</v>
      </c>
      <c r="B29" s="75" t="s">
        <v>53</v>
      </c>
      <c r="C29" s="213" t="s">
        <v>310</v>
      </c>
      <c r="D29" s="51" t="s">
        <v>351</v>
      </c>
    </row>
    <row r="30" spans="1:4">
      <c r="A30" s="55" t="s">
        <v>52</v>
      </c>
      <c r="B30" s="74" t="s">
        <v>54</v>
      </c>
      <c r="C30" s="213" t="s">
        <v>310</v>
      </c>
      <c r="D30" s="51" t="s">
        <v>54</v>
      </c>
    </row>
    <row r="31" spans="1:4">
      <c r="A31" s="61" t="s">
        <v>55</v>
      </c>
      <c r="B31" s="77" t="s">
        <v>55</v>
      </c>
      <c r="C31" s="213" t="s">
        <v>311</v>
      </c>
      <c r="D31" s="51" t="s">
        <v>311</v>
      </c>
    </row>
    <row r="32" spans="1:4">
      <c r="A32" s="61" t="s">
        <v>56</v>
      </c>
      <c r="B32" s="58" t="s">
        <v>57</v>
      </c>
      <c r="C32" s="213" t="s">
        <v>313</v>
      </c>
      <c r="D32" s="51" t="s">
        <v>312</v>
      </c>
    </row>
    <row r="33" spans="1:4">
      <c r="A33" s="61" t="s">
        <v>56</v>
      </c>
      <c r="B33" s="58" t="s">
        <v>58</v>
      </c>
      <c r="C33" s="213" t="s">
        <v>313</v>
      </c>
      <c r="D33" s="51" t="s">
        <v>352</v>
      </c>
    </row>
    <row r="34" spans="1:4">
      <c r="A34" s="61" t="s">
        <v>59</v>
      </c>
      <c r="B34" s="77" t="s">
        <v>59</v>
      </c>
      <c r="C34" s="213" t="s">
        <v>314</v>
      </c>
      <c r="D34" s="51" t="s">
        <v>314</v>
      </c>
    </row>
    <row r="35" spans="1:4">
      <c r="A35" s="55" t="s">
        <v>60</v>
      </c>
      <c r="B35" s="56" t="s">
        <v>60</v>
      </c>
      <c r="C35" s="213" t="s">
        <v>222</v>
      </c>
      <c r="D35" s="213" t="s">
        <v>222</v>
      </c>
    </row>
    <row r="36" spans="1:4">
      <c r="A36" s="55" t="s">
        <v>61</v>
      </c>
      <c r="B36" s="84" t="s">
        <v>62</v>
      </c>
      <c r="C36" s="213" t="s">
        <v>315</v>
      </c>
      <c r="D36" s="51" t="s">
        <v>353</v>
      </c>
    </row>
    <row r="37" spans="1:4">
      <c r="A37" s="55" t="s">
        <v>61</v>
      </c>
      <c r="B37" s="84" t="s">
        <v>63</v>
      </c>
      <c r="C37" s="213" t="s">
        <v>315</v>
      </c>
      <c r="D37" s="51" t="s">
        <v>354</v>
      </c>
    </row>
    <row r="38" spans="1:4">
      <c r="A38" s="55" t="s">
        <v>61</v>
      </c>
      <c r="B38" s="84" t="s">
        <v>64</v>
      </c>
      <c r="C38" s="213" t="s">
        <v>315</v>
      </c>
      <c r="D38" s="51" t="s">
        <v>355</v>
      </c>
    </row>
    <row r="39" spans="1:4">
      <c r="A39" s="55" t="s">
        <v>61</v>
      </c>
      <c r="B39" s="84" t="s">
        <v>480</v>
      </c>
      <c r="C39" s="213" t="s">
        <v>315</v>
      </c>
      <c r="D39" s="51" t="s">
        <v>356</v>
      </c>
    </row>
    <row r="40" spans="1:4">
      <c r="A40" s="55" t="s">
        <v>61</v>
      </c>
      <c r="B40" s="84" t="s">
        <v>66</v>
      </c>
      <c r="C40" s="213" t="s">
        <v>315</v>
      </c>
      <c r="D40" s="51" t="s">
        <v>357</v>
      </c>
    </row>
    <row r="41" spans="1:4">
      <c r="A41" s="55" t="s">
        <v>61</v>
      </c>
      <c r="B41" s="84" t="s">
        <v>67</v>
      </c>
      <c r="C41" s="213" t="s">
        <v>315</v>
      </c>
      <c r="D41" s="51" t="s">
        <v>358</v>
      </c>
    </row>
    <row r="42" spans="1:4">
      <c r="A42" s="55" t="s">
        <v>61</v>
      </c>
      <c r="B42" s="84" t="s">
        <v>68</v>
      </c>
      <c r="C42" s="213" t="s">
        <v>315</v>
      </c>
      <c r="D42" s="51" t="s">
        <v>359</v>
      </c>
    </row>
    <row r="43" spans="1:4">
      <c r="A43" s="55" t="s">
        <v>61</v>
      </c>
      <c r="B43" s="84" t="s">
        <v>69</v>
      </c>
      <c r="C43" s="213" t="s">
        <v>315</v>
      </c>
      <c r="D43" s="51" t="s">
        <v>360</v>
      </c>
    </row>
    <row r="44" spans="1:4">
      <c r="A44" s="55" t="s">
        <v>61</v>
      </c>
      <c r="B44" s="84" t="s">
        <v>70</v>
      </c>
      <c r="C44" s="213" t="s">
        <v>315</v>
      </c>
      <c r="D44" s="51" t="s">
        <v>361</v>
      </c>
    </row>
    <row r="45" spans="1:4">
      <c r="A45" s="55" t="s">
        <v>61</v>
      </c>
      <c r="B45" s="84" t="s">
        <v>71</v>
      </c>
      <c r="C45" s="213" t="s">
        <v>315</v>
      </c>
      <c r="D45" s="51" t="s">
        <v>362</v>
      </c>
    </row>
    <row r="46" spans="1:4">
      <c r="A46" s="55" t="s">
        <v>61</v>
      </c>
      <c r="B46" s="84" t="s">
        <v>74</v>
      </c>
      <c r="C46" s="213" t="s">
        <v>315</v>
      </c>
      <c r="D46" s="51" t="s">
        <v>363</v>
      </c>
    </row>
    <row r="47" spans="1:4">
      <c r="A47" s="55" t="s">
        <v>61</v>
      </c>
      <c r="B47" s="74" t="s">
        <v>76</v>
      </c>
      <c r="C47" s="213" t="s">
        <v>315</v>
      </c>
      <c r="D47" s="51" t="s">
        <v>364</v>
      </c>
    </row>
    <row r="48" spans="1:4">
      <c r="A48" s="55" t="s">
        <v>61</v>
      </c>
      <c r="B48" s="75" t="s">
        <v>77</v>
      </c>
      <c r="C48" s="213" t="s">
        <v>315</v>
      </c>
      <c r="D48" s="51" t="s">
        <v>365</v>
      </c>
    </row>
    <row r="49" spans="1:4">
      <c r="A49" s="78" t="s">
        <v>78</v>
      </c>
      <c r="B49" s="58" t="s">
        <v>79</v>
      </c>
      <c r="C49" s="213" t="s">
        <v>316</v>
      </c>
      <c r="D49" s="51" t="s">
        <v>366</v>
      </c>
    </row>
    <row r="50" spans="1:4">
      <c r="A50" s="78" t="s">
        <v>78</v>
      </c>
      <c r="B50" s="58" t="s">
        <v>80</v>
      </c>
      <c r="C50" s="213" t="s">
        <v>316</v>
      </c>
      <c r="D50" s="51" t="s">
        <v>367</v>
      </c>
    </row>
    <row r="51" spans="1:4">
      <c r="A51" s="55" t="s">
        <v>81</v>
      </c>
      <c r="B51" s="75" t="s">
        <v>82</v>
      </c>
      <c r="C51" s="213" t="s">
        <v>317</v>
      </c>
      <c r="D51" s="51" t="s">
        <v>317</v>
      </c>
    </row>
    <row r="52" spans="1:4">
      <c r="A52" s="55" t="s">
        <v>81</v>
      </c>
      <c r="B52" s="75" t="s">
        <v>83</v>
      </c>
      <c r="C52" s="213" t="s">
        <v>317</v>
      </c>
      <c r="D52" s="51" t="s">
        <v>368</v>
      </c>
    </row>
    <row r="53" spans="1:4">
      <c r="A53" s="55" t="s">
        <v>84</v>
      </c>
      <c r="B53" s="58" t="s">
        <v>85</v>
      </c>
      <c r="C53" s="213" t="s">
        <v>318</v>
      </c>
      <c r="D53" s="51" t="s">
        <v>369</v>
      </c>
    </row>
    <row r="54" spans="1:4">
      <c r="A54" s="55" t="s">
        <v>84</v>
      </c>
      <c r="B54" s="52" t="s">
        <v>86</v>
      </c>
      <c r="C54" s="213" t="s">
        <v>318</v>
      </c>
      <c r="D54" s="51" t="s">
        <v>318</v>
      </c>
    </row>
    <row r="55" spans="1:4">
      <c r="A55" s="55" t="s">
        <v>87</v>
      </c>
      <c r="B55" s="102" t="s">
        <v>89</v>
      </c>
      <c r="C55" s="213" t="s">
        <v>319</v>
      </c>
      <c r="D55" s="51" t="s">
        <v>370</v>
      </c>
    </row>
    <row r="56" spans="1:4">
      <c r="A56" s="55" t="s">
        <v>87</v>
      </c>
      <c r="B56" s="105" t="s">
        <v>92</v>
      </c>
      <c r="C56" s="213" t="s">
        <v>319</v>
      </c>
      <c r="D56" s="51" t="s">
        <v>371</v>
      </c>
    </row>
    <row r="57" spans="1:4">
      <c r="A57" s="55" t="s">
        <v>87</v>
      </c>
      <c r="B57" s="102" t="s">
        <v>95</v>
      </c>
      <c r="C57" s="213" t="s">
        <v>319</v>
      </c>
      <c r="D57" s="51" t="s">
        <v>372</v>
      </c>
    </row>
    <row r="58" spans="1:4">
      <c r="A58" s="55" t="s">
        <v>87</v>
      </c>
      <c r="B58" s="58" t="s">
        <v>97</v>
      </c>
      <c r="C58" s="213" t="s">
        <v>319</v>
      </c>
      <c r="D58" s="51" t="s">
        <v>373</v>
      </c>
    </row>
    <row r="59" spans="1:4">
      <c r="A59" s="61" t="s">
        <v>98</v>
      </c>
      <c r="B59" s="77" t="s">
        <v>98</v>
      </c>
      <c r="C59" s="213" t="s">
        <v>320</v>
      </c>
      <c r="D59" s="51" t="s">
        <v>320</v>
      </c>
    </row>
    <row r="60" spans="1:4">
      <c r="A60" s="55" t="s">
        <v>99</v>
      </c>
      <c r="B60" s="56" t="s">
        <v>99</v>
      </c>
      <c r="C60" s="213" t="s">
        <v>321</v>
      </c>
      <c r="D60" s="51" t="s">
        <v>321</v>
      </c>
    </row>
    <row r="61" spans="1:4">
      <c r="A61" s="61" t="s">
        <v>100</v>
      </c>
      <c r="B61" s="77" t="s">
        <v>100</v>
      </c>
      <c r="C61" s="213" t="s">
        <v>322</v>
      </c>
      <c r="D61" s="213" t="s">
        <v>322</v>
      </c>
    </row>
    <row r="62" spans="1:4" ht="28">
      <c r="A62" s="107" t="s">
        <v>101</v>
      </c>
      <c r="B62" s="102" t="s">
        <v>103</v>
      </c>
      <c r="C62" s="213" t="s">
        <v>323</v>
      </c>
      <c r="D62" s="51" t="s">
        <v>374</v>
      </c>
    </row>
    <row r="63" spans="1:4">
      <c r="A63" s="107" t="s">
        <v>101</v>
      </c>
      <c r="B63" s="102" t="s">
        <v>403</v>
      </c>
      <c r="C63" s="213" t="s">
        <v>323</v>
      </c>
      <c r="D63" s="51" t="s">
        <v>404</v>
      </c>
    </row>
    <row r="64" spans="1:4">
      <c r="A64" s="107" t="s">
        <v>101</v>
      </c>
      <c r="B64" s="75" t="s">
        <v>104</v>
      </c>
      <c r="C64" s="213" t="s">
        <v>323</v>
      </c>
      <c r="D64" s="51" t="s">
        <v>375</v>
      </c>
    </row>
    <row r="65" spans="1:5">
      <c r="A65" s="107" t="s">
        <v>101</v>
      </c>
      <c r="B65" s="110" t="s">
        <v>106</v>
      </c>
      <c r="C65" s="213" t="s">
        <v>323</v>
      </c>
      <c r="D65" s="51" t="s">
        <v>376</v>
      </c>
    </row>
    <row r="66" spans="1:5">
      <c r="A66" s="107" t="s">
        <v>101</v>
      </c>
      <c r="B66" s="102" t="s">
        <v>107</v>
      </c>
      <c r="C66" s="213" t="s">
        <v>323</v>
      </c>
      <c r="D66" s="51" t="s">
        <v>377</v>
      </c>
    </row>
    <row r="67" spans="1:5">
      <c r="A67" s="107" t="s">
        <v>101</v>
      </c>
      <c r="B67" s="110" t="s">
        <v>108</v>
      </c>
      <c r="C67" s="213" t="s">
        <v>323</v>
      </c>
      <c r="D67" s="51" t="s">
        <v>378</v>
      </c>
    </row>
    <row r="68" spans="1:5">
      <c r="A68" s="107" t="s">
        <v>101</v>
      </c>
      <c r="B68" s="102" t="s">
        <v>109</v>
      </c>
      <c r="C68" s="213" t="s">
        <v>323</v>
      </c>
      <c r="D68" s="51" t="s">
        <v>379</v>
      </c>
    </row>
    <row r="69" spans="1:5">
      <c r="A69" s="107" t="s">
        <v>110</v>
      </c>
      <c r="B69" s="110" t="s">
        <v>111</v>
      </c>
      <c r="C69" s="213" t="s">
        <v>325</v>
      </c>
      <c r="D69" s="51" t="s">
        <v>324</v>
      </c>
    </row>
    <row r="70" spans="1:5">
      <c r="A70" s="107" t="s">
        <v>110</v>
      </c>
      <c r="B70" s="75" t="s">
        <v>112</v>
      </c>
      <c r="C70" s="213" t="s">
        <v>325</v>
      </c>
      <c r="D70" s="51" t="s">
        <v>497</v>
      </c>
    </row>
    <row r="71" spans="1:5">
      <c r="A71" s="107" t="s">
        <v>476</v>
      </c>
      <c r="B71" s="114" t="s">
        <v>114</v>
      </c>
      <c r="C71" s="213" t="s">
        <v>326</v>
      </c>
      <c r="D71" s="51" t="s">
        <v>380</v>
      </c>
      <c r="E71">
        <v>1</v>
      </c>
    </row>
    <row r="72" spans="1:5">
      <c r="A72" s="107" t="s">
        <v>476</v>
      </c>
      <c r="B72" s="243" t="s">
        <v>474</v>
      </c>
      <c r="C72" s="213" t="s">
        <v>326</v>
      </c>
      <c r="D72" s="51" t="s">
        <v>475</v>
      </c>
      <c r="E72">
        <v>2</v>
      </c>
    </row>
    <row r="73" spans="1:5">
      <c r="A73" s="107" t="s">
        <v>476</v>
      </c>
      <c r="B73" s="114" t="s">
        <v>115</v>
      </c>
      <c r="C73" s="213" t="s">
        <v>326</v>
      </c>
      <c r="D73" s="51" t="s">
        <v>381</v>
      </c>
      <c r="E73">
        <v>3</v>
      </c>
    </row>
    <row r="74" spans="1:5">
      <c r="A74" s="107" t="s">
        <v>476</v>
      </c>
      <c r="B74" s="114" t="s">
        <v>116</v>
      </c>
      <c r="C74" s="213" t="s">
        <v>326</v>
      </c>
      <c r="D74" s="51" t="s">
        <v>382</v>
      </c>
      <c r="E74">
        <v>4</v>
      </c>
    </row>
    <row r="75" spans="1:5">
      <c r="A75" s="107" t="s">
        <v>476</v>
      </c>
      <c r="B75" s="116" t="s">
        <v>117</v>
      </c>
      <c r="C75" s="213" t="s">
        <v>326</v>
      </c>
      <c r="D75" s="51" t="s">
        <v>383</v>
      </c>
      <c r="E75">
        <v>5</v>
      </c>
    </row>
    <row r="76" spans="1:5">
      <c r="A76" s="107" t="s">
        <v>476</v>
      </c>
      <c r="B76" s="116" t="s">
        <v>118</v>
      </c>
      <c r="C76" s="213" t="s">
        <v>326</v>
      </c>
      <c r="D76" s="51" t="s">
        <v>384</v>
      </c>
      <c r="E76">
        <v>6</v>
      </c>
    </row>
    <row r="77" spans="1:5">
      <c r="A77" s="107" t="s">
        <v>476</v>
      </c>
      <c r="B77" s="114" t="s">
        <v>119</v>
      </c>
      <c r="C77" s="213" t="s">
        <v>326</v>
      </c>
      <c r="D77" s="51" t="s">
        <v>385</v>
      </c>
      <c r="E77">
        <v>7</v>
      </c>
    </row>
    <row r="78" spans="1:5">
      <c r="A78" s="107" t="s">
        <v>120</v>
      </c>
      <c r="B78" s="58" t="s">
        <v>121</v>
      </c>
      <c r="C78" s="213" t="s">
        <v>327</v>
      </c>
      <c r="D78" s="51" t="s">
        <v>386</v>
      </c>
    </row>
    <row r="79" spans="1:5">
      <c r="A79" s="107" t="s">
        <v>120</v>
      </c>
      <c r="B79" s="58" t="s">
        <v>122</v>
      </c>
      <c r="C79" s="213" t="s">
        <v>327</v>
      </c>
      <c r="D79" s="51" t="s">
        <v>387</v>
      </c>
    </row>
    <row r="80" spans="1:5">
      <c r="A80" s="123" t="s">
        <v>123</v>
      </c>
      <c r="B80" s="65" t="s">
        <v>124</v>
      </c>
      <c r="C80" s="213" t="s">
        <v>328</v>
      </c>
      <c r="D80" s="51" t="s">
        <v>388</v>
      </c>
    </row>
    <row r="81" spans="1:4">
      <c r="A81" s="123" t="s">
        <v>123</v>
      </c>
      <c r="B81" s="102" t="s">
        <v>125</v>
      </c>
      <c r="C81" s="213" t="s">
        <v>328</v>
      </c>
      <c r="D81" s="51" t="s">
        <v>389</v>
      </c>
    </row>
    <row r="82" spans="1:4">
      <c r="A82" s="123" t="s">
        <v>123</v>
      </c>
      <c r="B82" s="110" t="s">
        <v>126</v>
      </c>
      <c r="C82" s="213" t="s">
        <v>328</v>
      </c>
      <c r="D82" s="51" t="s">
        <v>390</v>
      </c>
    </row>
    <row r="83" spans="1:4">
      <c r="A83" s="123" t="s">
        <v>123</v>
      </c>
      <c r="B83" s="75" t="s">
        <v>127</v>
      </c>
      <c r="C83" s="213" t="s">
        <v>328</v>
      </c>
      <c r="D83" s="51" t="s">
        <v>391</v>
      </c>
    </row>
    <row r="84" spans="1:4">
      <c r="A84" s="123" t="s">
        <v>123</v>
      </c>
      <c r="B84" s="75" t="s">
        <v>398</v>
      </c>
      <c r="C84" s="213" t="s">
        <v>328</v>
      </c>
      <c r="D84" s="51" t="s">
        <v>401</v>
      </c>
    </row>
    <row r="85" spans="1:4">
      <c r="A85" s="123" t="s">
        <v>123</v>
      </c>
      <c r="B85" s="125" t="s">
        <v>128</v>
      </c>
      <c r="C85" s="213" t="s">
        <v>328</v>
      </c>
      <c r="D85" s="51" t="s">
        <v>392</v>
      </c>
    </row>
    <row r="86" spans="1:4">
      <c r="A86" s="55" t="s">
        <v>129</v>
      </c>
      <c r="B86" s="110" t="s">
        <v>130</v>
      </c>
      <c r="C86" s="213" t="s">
        <v>329</v>
      </c>
      <c r="D86" s="51" t="s">
        <v>393</v>
      </c>
    </row>
    <row r="87" spans="1:4">
      <c r="A87" s="55" t="s">
        <v>129</v>
      </c>
      <c r="B87" s="102" t="s">
        <v>131</v>
      </c>
      <c r="C87" s="213" t="s">
        <v>329</v>
      </c>
      <c r="D87" s="51" t="s">
        <v>395</v>
      </c>
    </row>
    <row r="88" spans="1:4">
      <c r="A88" s="55" t="s">
        <v>129</v>
      </c>
      <c r="B88" s="110" t="s">
        <v>132</v>
      </c>
      <c r="C88" s="213" t="s">
        <v>329</v>
      </c>
      <c r="D88" s="51" t="s">
        <v>394</v>
      </c>
    </row>
    <row r="89" spans="1:4">
      <c r="A89" s="55" t="s">
        <v>129</v>
      </c>
      <c r="B89" s="110" t="s">
        <v>133</v>
      </c>
      <c r="C89" s="213" t="s">
        <v>329</v>
      </c>
      <c r="D89" s="51" t="s">
        <v>396</v>
      </c>
    </row>
    <row r="90" spans="1:4">
      <c r="A90" s="55" t="s">
        <v>129</v>
      </c>
      <c r="B90" s="110" t="s">
        <v>134</v>
      </c>
      <c r="C90" s="213" t="s">
        <v>329</v>
      </c>
      <c r="D90" s="51" t="s">
        <v>329</v>
      </c>
    </row>
    <row r="91" spans="1:4">
      <c r="A91" s="107" t="s">
        <v>492</v>
      </c>
      <c r="B91" s="295" t="s">
        <v>488</v>
      </c>
      <c r="C91" s="213" t="s">
        <v>493</v>
      </c>
      <c r="D91" s="295" t="s">
        <v>494</v>
      </c>
    </row>
    <row r="92" spans="1:4">
      <c r="A92" s="107" t="s">
        <v>492</v>
      </c>
      <c r="B92" s="295" t="s">
        <v>489</v>
      </c>
      <c r="C92" s="213" t="s">
        <v>493</v>
      </c>
      <c r="D92" s="295" t="s">
        <v>489</v>
      </c>
    </row>
    <row r="93" spans="1:4">
      <c r="A93" s="107" t="s">
        <v>492</v>
      </c>
      <c r="B93" s="295" t="s">
        <v>490</v>
      </c>
      <c r="C93" s="213" t="s">
        <v>493</v>
      </c>
      <c r="D93" s="295" t="s">
        <v>495</v>
      </c>
    </row>
    <row r="94" spans="1:4">
      <c r="A94" s="107" t="s">
        <v>492</v>
      </c>
      <c r="B94" s="295" t="s">
        <v>491</v>
      </c>
      <c r="C94" s="213" t="s">
        <v>493</v>
      </c>
      <c r="D94" s="295" t="s">
        <v>496</v>
      </c>
    </row>
    <row r="95" spans="1:4">
      <c r="A95" s="107" t="s">
        <v>135</v>
      </c>
      <c r="B95" s="127" t="s">
        <v>135</v>
      </c>
      <c r="C95" s="213" t="s">
        <v>330</v>
      </c>
      <c r="D95" s="213" t="s">
        <v>330</v>
      </c>
    </row>
    <row r="96" spans="1:4">
      <c r="A96" s="107" t="s">
        <v>136</v>
      </c>
      <c r="B96" s="127" t="s">
        <v>136</v>
      </c>
      <c r="C96" s="213" t="s">
        <v>331</v>
      </c>
      <c r="D96" s="213" t="s">
        <v>331</v>
      </c>
    </row>
    <row r="99" spans="1:1">
      <c r="A99" t="s">
        <v>235</v>
      </c>
    </row>
  </sheetData>
  <autoFilter ref="A1:D96" xr:uid="{00000000-0009-0000-0000-000005000000}"/>
  <conditionalFormatting sqref="B64:B71 B73:B90 B1:B62 B95:B1048576">
    <cfRule type="duplicateValues" dxfId="3" priority="4"/>
  </conditionalFormatting>
  <conditionalFormatting sqref="D1">
    <cfRule type="duplicateValues" dxfId="2" priority="3"/>
  </conditionalFormatting>
  <conditionalFormatting sqref="D24">
    <cfRule type="duplicateValues" dxfId="1" priority="1"/>
  </conditionalFormatting>
  <conditionalFormatting sqref="D25:D34 D36:D60 D62:D90 D11:D23">
    <cfRule type="duplicateValues" dxfId="0" priority="1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HỢP KHKD 2025</vt:lpstr>
      <vt:lpstr>CPQLDN.</vt:lpstr>
      <vt:lpstr>KQKD Tổng quan</vt:lpstr>
      <vt:lpstr>Kế hoạch</vt:lpstr>
      <vt:lpstr>TỔNG HỢP</vt:lpstr>
      <vt:lpstr>Danh mục CP QLDN chi tiết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Phòng Tài Chính Kế Toán (OCH)</cp:lastModifiedBy>
  <dcterms:created xsi:type="dcterms:W3CDTF">2015-06-05T18:17:20Z</dcterms:created>
  <dcterms:modified xsi:type="dcterms:W3CDTF">2026-03-21T16:21:09Z</dcterms:modified>
</cp:coreProperties>
</file>